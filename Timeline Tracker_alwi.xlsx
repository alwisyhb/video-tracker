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<sst xmlns="http://schemas.openxmlformats.org/spreadsheetml/2006/main" count="459" uniqueCount="182">
  <si>
    <t>Daftar Pembayaran Editan (Jasaedit)</t>
  </si>
  <si>
    <t>Alwli Sihabudin</t>
  </si>
  <si>
    <t>No</t>
  </si>
  <si>
    <t>Tgl Take</t>
  </si>
  <si>
    <t>Kode</t>
  </si>
  <si>
    <t>Status</t>
  </si>
  <si>
    <t>Fee (Rp)</t>
  </si>
  <si>
    <t>JE0315</t>
  </si>
  <si>
    <t>Done</t>
  </si>
  <si>
    <t>JE6212</t>
  </si>
  <si>
    <t>JE101</t>
  </si>
  <si>
    <t>JE5907</t>
  </si>
  <si>
    <t>JE3439</t>
  </si>
  <si>
    <t>JE7845</t>
  </si>
  <si>
    <t>JE6360</t>
  </si>
  <si>
    <t>JE2288</t>
  </si>
  <si>
    <t>JE6445</t>
  </si>
  <si>
    <t>JE356</t>
  </si>
  <si>
    <t>JE1793</t>
  </si>
  <si>
    <t>JE9489</t>
  </si>
  <si>
    <t>Total Fee</t>
  </si>
  <si>
    <t>Rekening: 2036164645 Wondr By BNI a/n: Alwi Sihabudin</t>
  </si>
  <si>
    <t>🎬 Video Editor Project &amp; Timeline Tracker</t>
  </si>
  <si>
    <t>Alur kerja produksi video, pelacakan tenggat waktu, dan status revisi</t>
  </si>
  <si>
    <t>TOTAL PROYEK</t>
  </si>
  <si>
    <t>DALAM PROSES</t>
  </si>
  <si>
    <t>DALAM REVISI</t>
  </si>
  <si>
    <t>PROYEK SELESAI</t>
  </si>
  <si>
    <t>DEADLINE MENDESAK</t>
  </si>
  <si>
    <t>TOTAL ESTIMASI FEE</t>
  </si>
  <si>
    <t>TOTAL FEE DIDAPAT</t>
  </si>
  <si>
    <t>Total video tercatat</t>
  </si>
  <si>
    <t>Proses editing aktif</t>
  </si>
  <si>
    <t>Menunggu revisi klien</t>
  </si>
  <si>
    <t>Siap tayang / deliver</t>
  </si>
  <si>
    <t>Sisa waktu ≤ 3 hari</t>
  </si>
  <si>
    <t>Akumulasi seluruh proyek</t>
  </si>
  <si>
    <t>Dari fee yang sudah diterima</t>
  </si>
  <si>
    <t>Kode Proyek</t>
  </si>
  <si>
    <t>Nama Proyek Video</t>
  </si>
  <si>
    <t>Klien / Saluran</t>
  </si>
  <si>
    <t>Platform</t>
  </si>
  <si>
    <t>Tahapan Editing</t>
  </si>
  <si>
    <t>Tgl Mulai</t>
  </si>
  <si>
    <t>Deadline</t>
  </si>
  <si>
    <t>Prioritas</t>
  </si>
  <si>
    <t>Est. Durasi (m)</t>
  </si>
  <si>
    <t>Sisa Hari</t>
  </si>
  <si>
    <t>Status Tenggat</t>
  </si>
  <si>
    <t>Fee Proyek (Rp)</t>
  </si>
  <si>
    <t>Jenis Video</t>
  </si>
  <si>
    <t>Status Pembayaran</t>
  </si>
  <si>
    <t>RV005</t>
  </si>
  <si>
    <t>OLYV STRATEGYC</t>
  </si>
  <si>
    <t>Rehnvim</t>
  </si>
  <si>
    <t>TikTok / Reels (9:16)</t>
  </si>
  <si>
    <t>6. Final Export</t>
  </si>
  <si>
    <t>Selesai</t>
  </si>
  <si>
    <t>Sedang</t>
  </si>
  <si>
    <t>Shorts / Reels / TikTok</t>
  </si>
  <si>
    <t>Sudah Diterima</t>
  </si>
  <si>
    <t>RV003</t>
  </si>
  <si>
    <t>Tinggi</t>
  </si>
  <si>
    <t>Tutorial / Edukasi</t>
  </si>
  <si>
    <t>RV004</t>
  </si>
  <si>
    <t>Video Music AI "Gorengan"</t>
  </si>
  <si>
    <t>MGE03</t>
  </si>
  <si>
    <t>Melek Ngonten Eps 03</t>
  </si>
  <si>
    <t>Melek Ngedit</t>
  </si>
  <si>
    <t>Belum Diterima</t>
  </si>
  <si>
    <t>MGE04</t>
  </si>
  <si>
    <t>Melek Ngonten Eps 04</t>
  </si>
  <si>
    <t>MGE05</t>
  </si>
  <si>
    <t>Melek Ngonten Eps 05</t>
  </si>
  <si>
    <t>RK01</t>
  </si>
  <si>
    <t>Assignment Test</t>
  </si>
  <si>
    <t>Rumah Kepemimpinan</t>
  </si>
  <si>
    <t>1. Ingest &amp; Assembly</t>
  </si>
  <si>
    <t>Gagal</t>
  </si>
  <si>
    <t>NC01</t>
  </si>
  <si>
    <t>Trial</t>
  </si>
  <si>
    <t>Naraya Creative</t>
  </si>
  <si>
    <t>YouTube (16:9)</t>
  </si>
  <si>
    <t>Wedding</t>
  </si>
  <si>
    <t>gagal</t>
  </si>
  <si>
    <t>RV007</t>
  </si>
  <si>
    <t>IKGA - KELOMPOK 4</t>
  </si>
  <si>
    <t>Vlog / Sinematik</t>
  </si>
  <si>
    <t>MUI001</t>
  </si>
  <si>
    <t>Bumper Monitoring Evaluasi MUI 2026</t>
  </si>
  <si>
    <t>MUI Prov. Jabar</t>
  </si>
  <si>
    <t>Videotron</t>
  </si>
  <si>
    <t>Bumper</t>
  </si>
  <si>
    <t>MGE06</t>
  </si>
  <si>
    <t>Kunci AE/AF Lock — atasi blur &amp; exposure HP sendiri</t>
  </si>
  <si>
    <t>RV008</t>
  </si>
  <si>
    <t>Video Edukasi</t>
  </si>
  <si>
    <t>Tugas Kuliah</t>
  </si>
  <si>
    <t>EL01</t>
  </si>
  <si>
    <t>Envizn Labs</t>
  </si>
  <si>
    <t>TRD01</t>
  </si>
  <si>
    <t>Yulia (pre test)</t>
  </si>
  <si>
    <t>Perkenalan</t>
  </si>
  <si>
    <t>Jasaedit</t>
  </si>
  <si>
    <t>jam 7</t>
  </si>
  <si>
    <t>Tugas Kayak Film</t>
  </si>
  <si>
    <t>VLog</t>
  </si>
  <si>
    <t>8 menit</t>
  </si>
  <si>
    <t>jam 2</t>
  </si>
  <si>
    <t>Mencegah Korupsi Lingkungan</t>
  </si>
  <si>
    <t>5 menit</t>
  </si>
  <si>
    <t>blm download</t>
  </si>
  <si>
    <t>Dokumentasi Penelitian</t>
  </si>
  <si>
    <t>2. Rough Cut</t>
  </si>
  <si>
    <t>3 menit</t>
  </si>
  <si>
    <t>jam 9</t>
  </si>
  <si>
    <t>Konten Ig</t>
  </si>
  <si>
    <t>Jangan lebih dari tgl 16</t>
  </si>
  <si>
    <t>RV009</t>
  </si>
  <si>
    <t>RV010</t>
  </si>
  <si>
    <t>MN07</t>
  </si>
  <si>
    <t>Bahas Lightning</t>
  </si>
  <si>
    <t>JE5676</t>
  </si>
  <si>
    <t>Video Pembelajaran</t>
  </si>
  <si>
    <t>Belum Mulai</t>
  </si>
  <si>
    <t>7 menit</t>
  </si>
  <si>
    <t>jam 4 sore</t>
  </si>
  <si>
    <t>ada beberapa file yang belum</t>
  </si>
  <si>
    <t>hangus ges</t>
  </si>
  <si>
    <t>Sibernas</t>
  </si>
  <si>
    <t>5/6 menit</t>
  </si>
  <si>
    <t>jam 9 pagi</t>
  </si>
  <si>
    <t>dikerjain claude</t>
  </si>
  <si>
    <t>jam 6 pagi</t>
  </si>
  <si>
    <t>sfx</t>
  </si>
  <si>
    <t>proceedings at Religious Courts and Mahkamah Syar’iyah</t>
  </si>
  <si>
    <t>3-4 menit</t>
  </si>
  <si>
    <t>jam 8 pagi</t>
  </si>
  <si>
    <t>proses generate</t>
  </si>
  <si>
    <t>beres</t>
  </si>
  <si>
    <t>Aktualisasi Latsar</t>
  </si>
  <si>
    <t>Iklan / Commercial</t>
  </si>
  <si>
    <t>6 menit</t>
  </si>
  <si>
    <t>belum ada</t>
  </si>
  <si>
    <t>Fiksasi</t>
  </si>
  <si>
    <t>Video Proses pembuatan</t>
  </si>
  <si>
    <t>1 menit</t>
  </si>
  <si>
    <t>jam 11 pagi</t>
  </si>
  <si>
    <t>done</t>
  </si>
  <si>
    <t xml:space="preserve">video uts membahas materi kedudukan dan fungsi bahasa </t>
  </si>
  <si>
    <t>3 - 4 menit</t>
  </si>
  <si>
    <t>jam 8 malam</t>
  </si>
  <si>
    <t>udah download</t>
  </si>
  <si>
    <t>video campaign</t>
  </si>
  <si>
    <t>jam 12 siang</t>
  </si>
  <si>
    <t>JE55600</t>
  </si>
  <si>
    <t>Bahasa Inggris</t>
  </si>
  <si>
    <t>5-8 Menit</t>
  </si>
  <si>
    <t>JE329</t>
  </si>
  <si>
    <t>iklan</t>
  </si>
  <si>
    <t>jam 18</t>
  </si>
  <si>
    <t>MN08</t>
  </si>
  <si>
    <t>Eps 8</t>
  </si>
  <si>
    <t>5. VFX &amp; Motion</t>
  </si>
  <si>
    <t>Dalam Proses</t>
  </si>
  <si>
    <t>MN10</t>
  </si>
  <si>
    <t>Eps 10</t>
  </si>
  <si>
    <t>3. Fine Cut &amp; Pacing</t>
  </si>
  <si>
    <t>JE2981</t>
  </si>
  <si>
    <t>Video wawancara dura</t>
  </si>
  <si>
    <t>08.00</t>
  </si>
  <si>
    <t>JE7183</t>
  </si>
  <si>
    <t>Video lomba</t>
  </si>
  <si>
    <t>Revisi</t>
  </si>
  <si>
    <t>20.00</t>
  </si>
  <si>
    <t>JE8472</t>
  </si>
  <si>
    <t>Wawancara</t>
  </si>
  <si>
    <t>6 - 7 menit</t>
  </si>
  <si>
    <t>08.30</t>
  </si>
  <si>
    <t>JE7433</t>
  </si>
  <si>
    <t>Vlog Ekstrakurikuler</t>
  </si>
  <si>
    <t>18/20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</si>
</sst>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Rp&quot;#,##0"/>
    <numFmt numFmtId="166" formatCode="&quot;Rp &quot;#,##0"/>
    <numFmt numFmtId="167" formatCode="0.0"/>
    <numFmt numFmtId="168" formatCode="d-m"/>
  </numFmts>
  <fonts count="27">
    <font>
      <sz val="10.0"/>
      <color rgb="FF000000"/>
      <name val="Arial"/>
      <scheme val="minor"/>
    </font>
    <font>
      <b/>
      <sz val="14.0"/>
      <color rgb="FF1E3989"/>
      <name val="Roboto"/>
    </font>
    <font>
      <color theme="1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  <font>
      <b/>
      <sz val="10.0"/>
      <color rgb="FF1E3989"/>
      <name val="Roboto"/>
    </font>
    <font/>
    <font>
      <b/>
      <sz val="15.0"/>
      <color rgb="FF0B5394"/>
      <name val="Arial"/>
      <scheme val="minor"/>
    </font>
    <font>
      <b/>
      <sz val="16.0"/>
      <color rgb="FF2B2A5F"/>
      <name val="Roboto"/>
    </font>
    <font>
      <i/>
      <sz val="10.0"/>
      <color rgb="FF787680"/>
      <name val="Roboto"/>
    </font>
    <font>
      <b/>
      <sz val="9.0"/>
      <color rgb="FF474459"/>
      <name val="Roboto"/>
    </font>
    <font>
      <b/>
      <sz val="20.0"/>
      <color rgb="FF333059"/>
      <name val="Roboto"/>
    </font>
    <font>
      <b/>
      <sz val="20.0"/>
      <color rgb="FF38337F"/>
      <name val="Roboto"/>
    </font>
    <font>
      <b/>
      <sz val="20.0"/>
      <color rgb="FF7F2659"/>
      <name val="Roboto"/>
    </font>
    <font>
      <b/>
      <sz val="20.0"/>
      <color rgb="FF147238"/>
      <name val="Roboto"/>
    </font>
    <font>
      <b/>
      <sz val="20.0"/>
      <color rgb="FFB72D19"/>
      <name val="Roboto"/>
    </font>
    <font>
      <b/>
      <sz val="16.0"/>
      <color rgb="FF38337F"/>
      <name val="Roboto"/>
    </font>
    <font>
      <b/>
      <sz val="16.0"/>
      <color rgb="FF147238"/>
      <name val="Roboto"/>
    </font>
    <font>
      <i/>
      <sz val="8.0"/>
      <color rgb="FF727284"/>
      <name val="Roboto"/>
    </font>
    <font>
      <b/>
      <color rgb="FF595691"/>
      <name val="Arial"/>
      <scheme val="minor"/>
    </font>
    <font>
      <sz val="10.0"/>
      <color rgb="FF1C1C21"/>
      <name val="Roboto"/>
    </font>
    <font>
      <b/>
      <sz val="10.0"/>
      <color rgb="FF1C1C21"/>
      <name val="Roboto"/>
    </font>
    <font>
      <color theme="1"/>
      <name val="Roboto"/>
    </font>
    <font>
      <b/>
      <color theme="1"/>
      <name val="Arial"/>
      <scheme val="minor"/>
    </font>
    <font>
      <b/>
      <color rgb="FF595691"/>
      <name val="Roboto"/>
    </font>
    <font>
      <b/>
      <sz val="10.0"/>
      <color theme="1"/>
      <name val="Roboto"/>
    </font>
    <font>
      <sz val="10.0"/>
      <color rgb="FF1A1A1A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EDF1F8"/>
        <bgColor rgb="FFEDF1F8"/>
      </patternFill>
    </fill>
    <fill>
      <patternFill patternType="solid">
        <fgColor rgb="FFEFEBF4"/>
        <bgColor rgb="FFEFEBF4"/>
      </patternFill>
    </fill>
    <fill>
      <patternFill patternType="solid">
        <fgColor rgb="FFE2DFF8"/>
        <bgColor rgb="FFE2DFF8"/>
      </patternFill>
    </fill>
    <fill>
      <patternFill patternType="solid">
        <fgColor rgb="FFFFEAF2"/>
        <bgColor rgb="FFFFEAF2"/>
      </patternFill>
    </fill>
    <fill>
      <patternFill patternType="solid">
        <fgColor rgb="FFE4F7EB"/>
        <bgColor rgb="FFE4F7EB"/>
      </patternFill>
    </fill>
    <fill>
      <patternFill patternType="solid">
        <fgColor rgb="FFFFEFE6"/>
        <bgColor rgb="FFFFEFE6"/>
      </patternFill>
    </fill>
    <fill>
      <patternFill patternType="solid">
        <fgColor rgb="FFEAE8F4"/>
        <bgColor rgb="FFEAE8F4"/>
      </patternFill>
    </fill>
    <fill>
      <patternFill patternType="solid">
        <fgColor rgb="FF5A5792"/>
        <bgColor rgb="FF5A5792"/>
      </patternFill>
    </fill>
    <fill>
      <patternFill patternType="solid">
        <fgColor rgb="FFFF0000"/>
        <bgColor rgb="FFFF0000"/>
      </patternFill>
    </fill>
  </fills>
  <borders count="30">
    <border/>
    <border>
      <left style="thin">
        <color rgb="FFCCD1D8"/>
      </left>
      <right style="thin">
        <color rgb="FFE4E7EB"/>
      </right>
      <top style="thin">
        <color rgb="FF1E3989"/>
      </top>
      <bottom style="thin">
        <color rgb="FFE4E7EB"/>
      </bottom>
    </border>
    <border>
      <left style="thin">
        <color rgb="FFE4E7EB"/>
      </left>
      <right style="thin">
        <color rgb="FFE4E7EB"/>
      </right>
      <top style="thin">
        <color rgb="FF1E3989"/>
      </top>
      <bottom style="thin">
        <color rgb="FFE4E7EB"/>
      </bottom>
    </border>
    <border>
      <left style="thin">
        <color rgb="FFE4E7EB"/>
      </left>
      <right style="thin">
        <color rgb="FFCCD1D8"/>
      </right>
      <top style="thin">
        <color rgb="FF1E3989"/>
      </top>
      <bottom style="thin">
        <color rgb="FFE4E7EB"/>
      </bottom>
    </border>
    <border>
      <left style="thin">
        <color rgb="FFCCD1D8"/>
      </left>
      <right style="thin">
        <color rgb="FFE4E7EB"/>
      </right>
      <top style="thin">
        <color rgb="FFE4E7EB"/>
      </top>
      <bottom style="thin">
        <color rgb="FFE4E7EB"/>
      </bottom>
    </border>
    <border>
      <left style="thin">
        <color rgb="FFE4E7EB"/>
      </left>
      <right style="thin">
        <color rgb="FFE4E7EB"/>
      </right>
      <top style="thin">
        <color rgb="FFE4E7EB"/>
      </top>
      <bottom style="thin">
        <color rgb="FFE4E7EB"/>
      </bottom>
    </border>
    <border>
      <left style="thin">
        <color rgb="FFE4E7EB"/>
      </left>
      <right style="thin">
        <color rgb="FFCCD1D8"/>
      </right>
      <top style="thin">
        <color rgb="FFE4E7EB"/>
      </top>
      <bottom style="thin">
        <color rgb="FFE4E7EB"/>
      </bottom>
    </border>
    <border>
      <left style="thin">
        <color rgb="FFE4E7EB"/>
      </left>
      <right style="thin">
        <color rgb="FFE4E7EB"/>
      </right>
      <top style="thin">
        <color rgb="FFE4E7EB"/>
      </top>
    </border>
    <border>
      <left style="thin">
        <color rgb="FFE4E7EB"/>
      </left>
      <right style="thin">
        <color rgb="FFCCD1D8"/>
      </right>
      <top style="thin">
        <color rgb="FFE4E7EB"/>
      </top>
    </border>
    <border>
      <left style="thin">
        <color rgb="FFCCD1D8"/>
      </left>
      <right style="thin">
        <color rgb="FFE4E7EB"/>
      </right>
      <top style="thin">
        <color rgb="FFE4E7EB"/>
      </top>
    </border>
    <border>
      <left style="thin">
        <color rgb="FFCCD1D8"/>
      </left>
      <top style="medium">
        <color rgb="FF1E3989"/>
      </top>
      <bottom style="double">
        <color rgb="FF1E3989"/>
      </bottom>
    </border>
    <border>
      <top style="medium">
        <color rgb="FF1E3989"/>
      </top>
      <bottom style="double">
        <color rgb="FF1E3989"/>
      </bottom>
    </border>
    <border>
      <right style="thin">
        <color rgb="FFE4E7EB"/>
      </right>
      <top style="medium">
        <color rgb="FF1E3989"/>
      </top>
      <bottom style="double">
        <color rgb="FF1E3989"/>
      </bottom>
    </border>
    <border>
      <left style="thin">
        <color rgb="FFE4E7EB"/>
      </left>
      <right style="thin">
        <color rgb="FFCCD1D8"/>
      </right>
      <top style="medium">
        <color rgb="FF1E3989"/>
      </top>
      <bottom style="double">
        <color rgb="FF1E3989"/>
      </bottom>
    </border>
    <border>
      <left style="thin">
        <color rgb="FFC6C6D1"/>
      </left>
      <top style="thin">
        <color rgb="FFC6C6D1"/>
      </top>
    </border>
    <border>
      <right style="thin">
        <color rgb="FFC6C6D1"/>
      </right>
      <top style="thin">
        <color rgb="FFC6C6D1"/>
      </top>
    </border>
    <border>
      <left style="thin">
        <color rgb="FFC6C6D1"/>
      </left>
    </border>
    <border>
      <right style="thin">
        <color rgb="FFC6C6D1"/>
      </right>
    </border>
    <border>
      <left style="thin">
        <color rgb="FFC6C6D1"/>
      </left>
      <bottom style="thin">
        <color rgb="FFC6C6D1"/>
      </bottom>
    </border>
    <border>
      <right style="thin">
        <color rgb="FFC6C6D1"/>
      </right>
      <bottom style="thin">
        <color rgb="FFC6C6D1"/>
      </bottom>
    </border>
    <border>
      <left style="thin">
        <color rgb="FFC6C6D1"/>
      </left>
      <right style="thin">
        <color rgb="FFE0E0EA"/>
      </right>
      <top style="thin">
        <color rgb="FF595691"/>
      </top>
      <bottom style="thin">
        <color rgb="FFE0E0EA"/>
      </bottom>
    </border>
    <border>
      <left style="thin">
        <color rgb="FFE0E0EA"/>
      </left>
      <right style="thin">
        <color rgb="FFE0E0EA"/>
      </right>
      <top style="thin">
        <color rgb="FF595691"/>
      </top>
      <bottom style="thin">
        <color rgb="FFE0E0EA"/>
      </bottom>
    </border>
    <border>
      <left style="thin">
        <color rgb="FFE0E0EA"/>
      </left>
      <right style="thin">
        <color rgb="FFC6C6D1"/>
      </right>
      <top style="thin">
        <color rgb="FF595691"/>
      </top>
      <bottom style="thin">
        <color rgb="FFE0E0EA"/>
      </bottom>
    </border>
    <border>
      <left style="thin">
        <color rgb="FFC6C6D1"/>
      </left>
      <right style="thin">
        <color rgb="FFE0E0EA"/>
      </right>
      <top style="thin">
        <color rgb="FFE0E0EA"/>
      </top>
      <bottom style="thin">
        <color rgb="FFE0E0EA"/>
      </bottom>
    </border>
    <border>
      <left style="thin">
        <color rgb="FFE0E0EA"/>
      </left>
      <right style="thin">
        <color rgb="FFE0E0EA"/>
      </right>
      <top style="thin">
        <color rgb="FFE0E0EA"/>
      </top>
      <bottom style="thin">
        <color rgb="FFE0E0EA"/>
      </bottom>
    </border>
    <border>
      <left style="thin">
        <color rgb="FFE0E0EA"/>
      </left>
      <right style="thin">
        <color rgb="FFC6C6D1"/>
      </right>
      <top style="thin">
        <color rgb="FFE0E0EA"/>
      </top>
      <bottom style="thin">
        <color rgb="FFE0E0EA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6C6D1"/>
      </left>
      <right style="thin">
        <color rgb="FFE0E0EA"/>
      </right>
      <top style="thin">
        <color rgb="FFE0E0EA"/>
      </top>
      <bottom style="thin">
        <color rgb="FFC6C6D1"/>
      </bottom>
    </border>
    <border>
      <left style="thin">
        <color rgb="FFE0E0EA"/>
      </left>
      <right style="thin">
        <color rgb="FFE0E0EA"/>
      </right>
      <top style="thin">
        <color rgb="FFE0E0EA"/>
      </top>
      <bottom style="thin">
        <color rgb="FFC6C6D1"/>
      </bottom>
    </border>
    <border>
      <left style="thin">
        <color rgb="FFE0E0EA"/>
      </left>
      <right style="thin">
        <color rgb="FFC6C6D1"/>
      </right>
      <top style="thin">
        <color rgb="FFE0E0EA"/>
      </top>
      <bottom style="thin">
        <color rgb="FFC6C6D1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right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6" fillId="0" fontId="4" numFmtId="165" xfId="0" applyAlignment="1" applyBorder="1" applyFont="1" applyNumberFormat="1">
      <alignment horizontal="right" readingOrder="0" vertical="center"/>
    </xf>
    <xf borderId="7" fillId="0" fontId="4" numFmtId="164" xfId="0" applyAlignment="1" applyBorder="1" applyFont="1" applyNumberForma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165" xfId="0" applyAlignment="1" applyBorder="1" applyFont="1" applyNumberFormat="1">
      <alignment horizontal="right" readingOrder="0" vertical="center"/>
    </xf>
    <xf borderId="9" fillId="0" fontId="4" numFmtId="0" xfId="0" applyAlignment="1" applyBorder="1" applyFont="1">
      <alignment horizontal="center" readingOrder="0" vertical="center"/>
    </xf>
    <xf borderId="10" fillId="3" fontId="5" numFmtId="0" xfId="0" applyAlignment="1" applyBorder="1" applyFill="1" applyFont="1">
      <alignment horizontal="right" readingOrder="0" vertical="center"/>
    </xf>
    <xf borderId="11" fillId="0" fontId="6" numFmtId="0" xfId="0" applyBorder="1" applyFont="1"/>
    <xf borderId="12" fillId="0" fontId="6" numFmtId="0" xfId="0" applyBorder="1" applyFont="1"/>
    <xf borderId="13" fillId="3" fontId="5" numFmtId="165" xfId="0" applyAlignment="1" applyBorder="1" applyFill="1" applyFont="1" applyNumberFormat="1">
      <alignment horizontal="right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14" fillId="4" fontId="10" numFmtId="0" xfId="0" applyAlignment="1" applyBorder="1" applyFill="1" applyFont="1">
      <alignment horizontal="center" readingOrder="0" vertical="center"/>
    </xf>
    <xf borderId="15" fillId="0" fontId="6" numFmtId="0" xfId="0" applyBorder="1" applyFont="1"/>
    <xf borderId="14" fillId="5" fontId="10" numFmtId="0" xfId="0" applyAlignment="1" applyBorder="1" applyFill="1" applyFont="1">
      <alignment horizontal="center" readingOrder="0" vertical="center"/>
    </xf>
    <xf borderId="14" fillId="6" fontId="10" numFmtId="0" xfId="0" applyAlignment="1" applyBorder="1" applyFill="1" applyFont="1">
      <alignment horizontal="center" readingOrder="0" vertical="center"/>
    </xf>
    <xf borderId="14" fillId="7" fontId="10" numFmtId="0" xfId="0" applyAlignment="1" applyBorder="1" applyFill="1" applyFont="1">
      <alignment horizontal="center" readingOrder="0" vertical="center"/>
    </xf>
    <xf borderId="14" fillId="8" fontId="10" numFmtId="0" xfId="0" applyAlignment="1" applyBorder="1" applyFill="1" applyFont="1">
      <alignment horizontal="center" readingOrder="0" vertical="center"/>
    </xf>
    <xf borderId="14" fillId="9" fontId="10" numFmtId="0" xfId="0" applyAlignment="1" applyBorder="1" applyFill="1" applyFont="1">
      <alignment horizontal="center" readingOrder="0" vertical="center"/>
    </xf>
    <xf borderId="14" fillId="7" fontId="10" numFmtId="0" xfId="0" applyAlignment="1" applyBorder="1" applyFill="1" applyFont="1">
      <alignment horizontal="center" readingOrder="0" vertical="center"/>
    </xf>
    <xf borderId="16" fillId="4" fontId="11" numFmtId="0" xfId="0" applyAlignment="1" applyBorder="1" applyFill="1" applyFont="1">
      <alignment horizontal="center" vertical="center"/>
    </xf>
    <xf borderId="17" fillId="0" fontId="6" numFmtId="0" xfId="0" applyBorder="1" applyFont="1"/>
    <xf borderId="16" fillId="5" fontId="12" numFmtId="0" xfId="0" applyAlignment="1" applyBorder="1" applyFill="1" applyFont="1">
      <alignment horizontal="center" vertical="center"/>
    </xf>
    <xf borderId="16" fillId="6" fontId="13" numFmtId="0" xfId="0" applyAlignment="1" applyBorder="1" applyFill="1" applyFont="1">
      <alignment horizontal="center" vertical="center"/>
    </xf>
    <xf borderId="16" fillId="7" fontId="14" numFmtId="0" xfId="0" applyAlignment="1" applyBorder="1" applyFill="1" applyFont="1">
      <alignment horizontal="center" vertical="center"/>
    </xf>
    <xf borderId="16" fillId="8" fontId="15" numFmtId="0" xfId="0" applyAlignment="1" applyBorder="1" applyFill="1" applyFont="1">
      <alignment horizontal="center" vertical="center"/>
    </xf>
    <xf borderId="16" fillId="9" fontId="16" numFmtId="166" xfId="0" applyAlignment="1" applyBorder="1" applyFill="1" applyFont="1" applyNumberFormat="1">
      <alignment horizontal="center" vertical="center"/>
    </xf>
    <xf borderId="16" fillId="7" fontId="17" numFmtId="166" xfId="0" applyAlignment="1" applyBorder="1" applyFill="1" applyFont="1" applyNumberFormat="1">
      <alignment horizontal="center" vertical="center"/>
    </xf>
    <xf borderId="18" fillId="4" fontId="18" numFmtId="0" xfId="0" applyAlignment="1" applyBorder="1" applyFill="1" applyFont="1">
      <alignment horizontal="center" readingOrder="0" vertical="center"/>
    </xf>
    <xf borderId="19" fillId="0" fontId="6" numFmtId="0" xfId="0" applyBorder="1" applyFont="1"/>
    <xf borderId="18" fillId="5" fontId="18" numFmtId="0" xfId="0" applyAlignment="1" applyBorder="1" applyFill="1" applyFont="1">
      <alignment horizontal="center" readingOrder="0" vertical="center"/>
    </xf>
    <xf borderId="18" fillId="6" fontId="18" numFmtId="0" xfId="0" applyAlignment="1" applyBorder="1" applyFill="1" applyFont="1">
      <alignment horizontal="center" readingOrder="0" vertical="center"/>
    </xf>
    <xf borderId="18" fillId="7" fontId="18" numFmtId="0" xfId="0" applyAlignment="1" applyBorder="1" applyFill="1" applyFont="1">
      <alignment horizontal="center" readingOrder="0" vertical="center"/>
    </xf>
    <xf borderId="18" fillId="8" fontId="18" numFmtId="0" xfId="0" applyAlignment="1" applyBorder="1" applyFill="1" applyFont="1">
      <alignment horizontal="center" readingOrder="0" vertical="center"/>
    </xf>
    <xf borderId="18" fillId="9" fontId="18" numFmtId="0" xfId="0" applyAlignment="1" applyBorder="1" applyFill="1" applyFont="1">
      <alignment horizontal="center" readingOrder="0" vertical="center"/>
    </xf>
    <xf borderId="20" fillId="10" fontId="3" numFmtId="0" xfId="0" applyAlignment="1" applyBorder="1" applyFill="1" applyFont="1">
      <alignment horizontal="center" readingOrder="0" vertical="center"/>
    </xf>
    <xf borderId="21" fillId="10" fontId="3" numFmtId="0" xfId="0" applyAlignment="1" applyBorder="1" applyFill="1" applyFont="1">
      <alignment horizontal="left" readingOrder="0" vertical="center"/>
    </xf>
    <xf borderId="21" fillId="10" fontId="3" numFmtId="0" xfId="0" applyAlignment="1" applyBorder="1" applyFill="1" applyFont="1">
      <alignment horizontal="center" readingOrder="0" vertical="center"/>
    </xf>
    <xf borderId="21" fillId="10" fontId="3" numFmtId="0" xfId="0" applyAlignment="1" applyBorder="1" applyFill="1" applyFont="1">
      <alignment horizontal="right" readingOrder="0" vertical="center"/>
    </xf>
    <xf borderId="21" fillId="10" fontId="3" numFmtId="0" xfId="0" applyAlignment="1" applyBorder="1" applyFill="1" applyFont="1">
      <alignment horizontal="right" vertical="center"/>
    </xf>
    <xf borderId="21" fillId="10" fontId="3" numFmtId="0" xfId="0" applyAlignment="1" applyBorder="1" applyFill="1" applyFont="1">
      <alignment horizontal="center" vertical="center"/>
    </xf>
    <xf borderId="22" fillId="10" fontId="3" numFmtId="0" xfId="0" applyAlignment="1" applyBorder="1" applyFill="1" applyFont="1">
      <alignment horizontal="center" vertical="center"/>
    </xf>
    <xf borderId="0" fillId="10" fontId="3" numFmtId="0" xfId="0" applyAlignment="1" applyFill="1" applyFont="1">
      <alignment horizontal="center" vertical="center"/>
    </xf>
    <xf borderId="23" fillId="0" fontId="19" numFmtId="0" xfId="0" applyAlignment="1" applyBorder="1" applyFont="1">
      <alignment horizontal="center" readingOrder="0" vertical="center"/>
    </xf>
    <xf borderId="24" fillId="0" fontId="20" numFmtId="0" xfId="0" applyAlignment="1" applyBorder="1" applyFont="1">
      <alignment horizontal="left" readingOrder="0" vertical="center"/>
    </xf>
    <xf borderId="24" fillId="0" fontId="20" numFmtId="164" xfId="0" applyAlignment="1" applyBorder="1" applyFont="1" applyNumberFormat="1">
      <alignment horizontal="center" readingOrder="0" vertical="center"/>
    </xf>
    <xf borderId="24" fillId="0" fontId="20" numFmtId="0" xfId="0" applyAlignment="1" applyBorder="1" applyFont="1">
      <alignment horizontal="center" readingOrder="0" vertical="center"/>
    </xf>
    <xf borderId="24" fillId="0" fontId="20" numFmtId="167" xfId="0" applyAlignment="1" applyBorder="1" applyFont="1" applyNumberFormat="1">
      <alignment horizontal="center" readingOrder="0" vertical="center"/>
    </xf>
    <xf borderId="24" fillId="0" fontId="20" numFmtId="3" xfId="0" applyAlignment="1" applyBorder="1" applyFont="1" applyNumberFormat="1">
      <alignment horizontal="center" vertical="center"/>
    </xf>
    <xf borderId="24" fillId="0" fontId="21" numFmtId="0" xfId="0" applyAlignment="1" applyBorder="1" applyFont="1">
      <alignment horizontal="center" vertical="center"/>
    </xf>
    <xf borderId="24" fillId="0" fontId="20" numFmtId="166" xfId="0" applyAlignment="1" applyBorder="1" applyFont="1" applyNumberFormat="1">
      <alignment horizontal="center" readingOrder="0" vertical="center"/>
    </xf>
    <xf borderId="25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24" fillId="0" fontId="20" numFmtId="0" xfId="0" applyAlignment="1" applyBorder="1" applyFont="1">
      <alignment horizontal="left" vertical="center"/>
    </xf>
    <xf borderId="25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11" fontId="2" numFmtId="0" xfId="0" applyFill="1" applyFont="1"/>
    <xf borderId="23" fillId="11" fontId="19" numFmtId="0" xfId="0" applyAlignment="1" applyBorder="1" applyFill="1" applyFont="1">
      <alignment horizontal="center" readingOrder="0" vertical="center"/>
    </xf>
    <xf borderId="24" fillId="11" fontId="20" numFmtId="0" xfId="0" applyAlignment="1" applyBorder="1" applyFill="1" applyFont="1">
      <alignment horizontal="left" readingOrder="0" vertical="center"/>
    </xf>
    <xf borderId="24" fillId="11" fontId="22" numFmtId="0" xfId="0" applyAlignment="1" applyBorder="1" applyFill="1" applyFont="1">
      <alignment readingOrder="0"/>
    </xf>
    <xf borderId="24" fillId="11" fontId="20" numFmtId="164" xfId="0" applyAlignment="1" applyBorder="1" applyFill="1" applyFont="1" applyNumberFormat="1">
      <alignment horizontal="center" readingOrder="0" vertical="center"/>
    </xf>
    <xf borderId="24" fillId="11" fontId="22" numFmtId="0" xfId="0" applyAlignment="1" applyBorder="1" applyFill="1" applyFont="1">
      <alignment horizontal="center" readingOrder="0" vertical="center"/>
    </xf>
    <xf borderId="24" fillId="11" fontId="2" numFmtId="0" xfId="0" applyAlignment="1" applyBorder="1" applyFill="1" applyFont="1">
      <alignment horizontal="center" readingOrder="0" vertical="center"/>
    </xf>
    <xf borderId="24" fillId="11" fontId="20" numFmtId="167" xfId="0" applyAlignment="1" applyBorder="1" applyFill="1" applyFont="1" applyNumberFormat="1">
      <alignment horizontal="center" readingOrder="0" vertical="center"/>
    </xf>
    <xf borderId="24" fillId="11" fontId="2" numFmtId="0" xfId="0" applyAlignment="1" applyBorder="1" applyFill="1" applyFont="1">
      <alignment horizontal="center"/>
    </xf>
    <xf borderId="24" fillId="11" fontId="23" numFmtId="0" xfId="0" applyAlignment="1" applyBorder="1" applyFill="1" applyFont="1">
      <alignment horizontal="center"/>
    </xf>
    <xf borderId="24" fillId="11" fontId="22" numFmtId="0" xfId="0" applyAlignment="1" applyBorder="1" applyFill="1" applyFont="1">
      <alignment horizontal="center" readingOrder="0"/>
    </xf>
    <xf borderId="25" fillId="11" fontId="22" numFmtId="0" xfId="0" applyAlignment="1" applyBorder="1" applyFill="1" applyFont="1">
      <alignment horizontal="center" readingOrder="0" vertical="center"/>
    </xf>
    <xf borderId="0" fillId="11" fontId="22" numFmtId="0" xfId="0" applyAlignment="1" applyFill="1" applyFont="1">
      <alignment horizontal="center" readingOrder="0" vertical="center"/>
    </xf>
    <xf borderId="0" fillId="11" fontId="22" numFmtId="0" xfId="0" applyAlignment="1" applyFill="1" applyFont="1">
      <alignment horizontal="center" readingOrder="0" vertical="center"/>
    </xf>
    <xf borderId="23" fillId="11" fontId="24" numFmtId="0" xfId="0" applyAlignment="1" applyBorder="1" applyFill="1" applyFont="1">
      <alignment horizontal="center" readingOrder="0" vertical="center"/>
    </xf>
    <xf borderId="24" fillId="11" fontId="22" numFmtId="0" xfId="0" applyAlignment="1" applyBorder="1" applyFill="1" applyFont="1">
      <alignment horizontal="center"/>
    </xf>
    <xf borderId="24" fillId="11" fontId="25" numFmtId="0" xfId="0" applyAlignment="1" applyBorder="1" applyFill="1" applyFont="1">
      <alignment horizontal="center"/>
    </xf>
    <xf borderId="23" fillId="0" fontId="24" numFmtId="0" xfId="0" applyAlignment="1" applyBorder="1" applyFont="1">
      <alignment horizontal="center" readingOrder="0" vertical="center"/>
    </xf>
    <xf borderId="24" fillId="0" fontId="22" numFmtId="0" xfId="0" applyAlignment="1" applyBorder="1" applyFont="1">
      <alignment readingOrder="0"/>
    </xf>
    <xf borderId="24" fillId="0" fontId="22" numFmtId="0" xfId="0" applyAlignment="1" applyBorder="1" applyFont="1">
      <alignment horizontal="center" readingOrder="0" vertical="center"/>
    </xf>
    <xf borderId="24" fillId="0" fontId="22" numFmtId="0" xfId="0" applyAlignment="1" applyBorder="1" applyFont="1">
      <alignment horizontal="center"/>
    </xf>
    <xf borderId="24" fillId="0" fontId="22" numFmtId="165" xfId="0" applyAlignment="1" applyBorder="1" applyFont="1" applyNumberFormat="1">
      <alignment horizontal="center" readingOrder="0"/>
    </xf>
    <xf borderId="25" fillId="0" fontId="22" numFmtId="0" xfId="0" applyAlignment="1" applyBorder="1" applyFont="1">
      <alignment horizontal="center" readingOrder="0"/>
    </xf>
    <xf borderId="0" fillId="0" fontId="22" numFmtId="0" xfId="0" applyAlignment="1" applyFont="1">
      <alignment horizontal="center" readingOrder="0"/>
    </xf>
    <xf borderId="24" fillId="0" fontId="22" numFmtId="0" xfId="0" applyAlignment="1" applyBorder="1" applyFont="1">
      <alignment horizontal="center" readingOrder="0"/>
    </xf>
    <xf borderId="26" fillId="0" fontId="26" numFmtId="0" xfId="0" applyAlignment="1" applyBorder="1" applyFont="1">
      <alignment horizontal="left" readingOrder="0" vertical="center"/>
    </xf>
    <xf borderId="24" fillId="11" fontId="22" numFmtId="0" xfId="0" applyBorder="1" applyFill="1" applyFont="1"/>
    <xf borderId="25" fillId="11" fontId="22" numFmtId="0" xfId="0" applyAlignment="1" applyBorder="1" applyFill="1" applyFont="1">
      <alignment horizontal="center"/>
    </xf>
    <xf borderId="0" fillId="11" fontId="22" numFmtId="0" xfId="0" applyAlignment="1" applyFill="1" applyFont="1">
      <alignment horizontal="center" readingOrder="0"/>
    </xf>
    <xf borderId="0" fillId="11" fontId="22" numFmtId="0" xfId="0" applyAlignment="1" applyFill="1" applyFont="1">
      <alignment horizontal="center"/>
    </xf>
    <xf borderId="24" fillId="0" fontId="22" numFmtId="3" xfId="0" applyAlignment="1" applyBorder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24" fillId="0" fontId="22" numFmtId="0" xfId="0" applyBorder="1" applyFont="1"/>
    <xf borderId="0" fillId="0" fontId="22" numFmtId="0" xfId="0" applyAlignment="1" applyFont="1">
      <alignment horizontal="center"/>
    </xf>
    <xf borderId="25" fillId="11" fontId="22" numFmtId="0" xfId="0" applyAlignment="1" applyBorder="1" applyFill="1" applyFont="1">
      <alignment horizontal="center" readingOrder="0"/>
    </xf>
    <xf borderId="0" fillId="11" fontId="22" numFmtId="0" xfId="0" applyAlignment="1" applyFill="1" applyFont="1">
      <alignment horizontal="center" readingOrder="0"/>
    </xf>
    <xf borderId="24" fillId="0" fontId="22" numFmtId="168" xfId="0" applyAlignment="1" applyBorder="1" applyFont="1" applyNumberFormat="1">
      <alignment horizontal="center" readingOrder="0"/>
    </xf>
    <xf borderId="23" fillId="0" fontId="22" numFmtId="0" xfId="0" applyBorder="1" applyFont="1"/>
    <xf borderId="24" fillId="0" fontId="22" numFmtId="0" xfId="0" applyAlignment="1" applyBorder="1" applyFont="1">
      <alignment horizontal="center" vertical="center"/>
    </xf>
    <xf borderId="25" fillId="0" fontId="22" numFmtId="0" xfId="0" applyAlignment="1" applyBorder="1" applyFont="1">
      <alignment horizontal="center"/>
    </xf>
    <xf borderId="27" fillId="0" fontId="22" numFmtId="0" xfId="0" applyBorder="1" applyFont="1"/>
    <xf borderId="28" fillId="0" fontId="22" numFmtId="0" xfId="0" applyBorder="1" applyFont="1"/>
    <xf borderId="28" fillId="0" fontId="22" numFmtId="0" xfId="0" applyAlignment="1" applyBorder="1" applyFont="1">
      <alignment horizontal="center" vertical="center"/>
    </xf>
    <xf borderId="28" fillId="0" fontId="22" numFmtId="0" xfId="0" applyAlignment="1" applyBorder="1" applyFont="1">
      <alignment horizontal="center"/>
    </xf>
    <xf borderId="29" fillId="0" fontId="22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A5792"/>
          <bgColor rgb="FF5A579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4FC"/>
          <bgColor rgb="FFF7F4FC"/>
        </patternFill>
      </fill>
      <border/>
    </dxf>
    <dxf>
      <font>
        <b/>
        <color rgb="FF147F3D"/>
      </font>
      <fill>
        <patternFill patternType="solid">
          <fgColor rgb="FFD8F2E0"/>
          <bgColor rgb="FFD8F2E0"/>
        </patternFill>
      </fill>
      <border/>
    </dxf>
    <dxf>
      <font>
        <b/>
        <color rgb="FFB55907"/>
      </font>
      <fill>
        <patternFill patternType="solid">
          <fgColor rgb="FFFDEFC6"/>
          <bgColor rgb="FFFDEFC6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:S100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.88"/>
    <col customWidth="1" min="2" max="2" width="12.0"/>
    <col customWidth="1" min="3" max="3" width="27.63"/>
    <col customWidth="1" min="4" max="4" width="17.0"/>
    <col customWidth="1" min="5" max="6" width="20.75"/>
    <col customWidth="1" min="7" max="8" width="13.25"/>
    <col customWidth="1" min="9" max="9" width="15.75"/>
    <col customWidth="1" min="10" max="11" width="13.25"/>
    <col customWidth="1" min="12" max="12" width="11.38"/>
    <col customWidth="1" min="13" max="13" width="17.0"/>
    <col customWidth="1" min="14" max="14" width="15.75"/>
    <col customWidth="1" min="15" max="15" width="23.25"/>
    <col customWidth="1" min="16" max="16" width="20.13"/>
    <col customWidth="1" min="17" max="17" width="18.25"/>
    <col customWidth="1" min="18" max="18" width="18.63"/>
  </cols>
  <sheetData>
    <row r="1" ht="15.0" customHeight="1"/>
    <row r="2" ht="25.5" customHeight="1">
      <c r="B2" s="20" t="s">
        <v>22</v>
      </c>
    </row>
    <row r="3" ht="16.5" customHeight="1">
      <c r="B3" s="21" t="s">
        <v>23</v>
      </c>
    </row>
    <row r="5" ht="16.5" customHeight="1">
      <c r="B5" s="22" t="s">
        <v>24</v>
      </c>
      <c r="C5" s="23"/>
      <c r="D5" s="24" t="s">
        <v>25</v>
      </c>
      <c r="E5" s="23"/>
      <c r="F5" s="25" t="s">
        <v>26</v>
      </c>
      <c r="G5" s="23"/>
      <c r="H5" s="26" t="s">
        <v>27</v>
      </c>
      <c r="I5" s="23"/>
      <c r="J5" s="27" t="s">
        <v>28</v>
      </c>
      <c r="K5" s="23"/>
      <c r="L5" s="28" t="s">
        <v>29</v>
      </c>
      <c r="M5" s="23"/>
      <c r="N5" s="29" t="s">
        <v>30</v>
      </c>
      <c r="O5" s="23"/>
    </row>
    <row r="6" ht="27.0" customHeight="1">
      <c r="B6" s="30">
        <f>COUNTA(B10:B100)</f>
        <v>39</v>
      </c>
      <c r="C6" s="31"/>
      <c r="D6" s="32">
        <f>COUNTIF(I10:I100, "Dalam Proses")</f>
        <v>2</v>
      </c>
      <c r="E6" s="31"/>
      <c r="F6" s="33">
        <f>COUNTIF(I10:I100, "Revisi")</f>
        <v>1</v>
      </c>
      <c r="G6" s="31"/>
      <c r="H6" s="34">
        <f>COUNTIF(I10:I100, "Selesai")</f>
        <v>34</v>
      </c>
      <c r="I6" s="31"/>
      <c r="J6" s="35">
        <f>COUNTIFS(I10:I100, "&lt;&gt;Selesai", I10:I100, "&lt;&gt;", L10:L100, "&lt;=3")</f>
        <v>5</v>
      </c>
      <c r="K6" s="31"/>
      <c r="L6" s="36">
        <f>SUM(N10:N100)</f>
        <v>1560000</v>
      </c>
      <c r="M6" s="31"/>
      <c r="N6" s="37">
        <f>SUMIF(P10:P100, "Sudah Diterima", N10:N100)</f>
        <v>900000</v>
      </c>
      <c r="O6" s="31"/>
    </row>
    <row r="7" ht="15.0" customHeight="1">
      <c r="B7" s="38" t="s">
        <v>31</v>
      </c>
      <c r="C7" s="39"/>
      <c r="D7" s="40" t="s">
        <v>32</v>
      </c>
      <c r="E7" s="39"/>
      <c r="F7" s="41" t="s">
        <v>33</v>
      </c>
      <c r="G7" s="39"/>
      <c r="H7" s="42" t="s">
        <v>34</v>
      </c>
      <c r="I7" s="39"/>
      <c r="J7" s="43" t="s">
        <v>35</v>
      </c>
      <c r="K7" s="39"/>
      <c r="L7" s="44" t="s">
        <v>36</v>
      </c>
      <c r="M7" s="39"/>
      <c r="N7" s="42" t="s">
        <v>37</v>
      </c>
      <c r="O7" s="39"/>
    </row>
    <row r="8" ht="12.0" customHeight="1"/>
    <row r="9" ht="24.0" customHeight="1">
      <c r="B9" s="45" t="s">
        <v>38</v>
      </c>
      <c r="C9" s="46" t="s">
        <v>39</v>
      </c>
      <c r="D9" s="46" t="s">
        <v>40</v>
      </c>
      <c r="E9" s="46" t="s">
        <v>41</v>
      </c>
      <c r="F9" s="46" t="s">
        <v>42</v>
      </c>
      <c r="G9" s="47" t="s">
        <v>43</v>
      </c>
      <c r="H9" s="47" t="s">
        <v>44</v>
      </c>
      <c r="I9" s="47" t="s">
        <v>5</v>
      </c>
      <c r="J9" s="47" t="s">
        <v>45</v>
      </c>
      <c r="K9" s="48" t="s">
        <v>46</v>
      </c>
      <c r="L9" s="48" t="s">
        <v>47</v>
      </c>
      <c r="M9" s="47" t="s">
        <v>48</v>
      </c>
      <c r="N9" s="49" t="s">
        <v>49</v>
      </c>
      <c r="O9" s="50" t="s">
        <v>50</v>
      </c>
      <c r="P9" s="51" t="s">
        <v>51</v>
      </c>
      <c r="Q9" s="52"/>
      <c r="R9" s="52"/>
      <c r="S9" s="52"/>
    </row>
    <row r="10" ht="21.0" customHeight="1">
      <c r="B10" s="53" t="s">
        <v>52</v>
      </c>
      <c r="C10" s="54" t="s">
        <v>53</v>
      </c>
      <c r="D10" s="54" t="s">
        <v>54</v>
      </c>
      <c r="E10" s="54" t="s">
        <v>55</v>
      </c>
      <c r="F10" s="54" t="s">
        <v>56</v>
      </c>
      <c r="G10" s="55">
        <v>46275.0</v>
      </c>
      <c r="H10" s="55">
        <v>46276.0</v>
      </c>
      <c r="I10" s="56" t="s">
        <v>57</v>
      </c>
      <c r="J10" s="56" t="s">
        <v>58</v>
      </c>
      <c r="K10" s="57">
        <v>30.0</v>
      </c>
      <c r="L10" s="58">
        <f t="shared" ref="L10:L23" si="1">IF(H10="", "", IF(I10="Selesai", 0, H10-TODAY()))</f>
        <v>0</v>
      </c>
      <c r="M10" s="59" t="str">
        <f t="shared" ref="M10:M23" si="2">IF(L10="", "", IF(I10="Selesai", "✅ Selesai", IF(L10&lt;0, "⚠️ Terlambat", IF(L10&lt;=2, "🔥 Sangat Dekat", IF(L10&lt;=5, "⚡ Mendekati", "⏳ Terjadwal")))))</f>
        <v>✅ Selesai</v>
      </c>
      <c r="N10" s="60">
        <v>25000.0</v>
      </c>
      <c r="O10" s="54" t="s">
        <v>59</v>
      </c>
      <c r="P10" s="61" t="s">
        <v>60</v>
      </c>
      <c r="Q10" s="62"/>
      <c r="R10" s="62"/>
      <c r="S10" s="62"/>
    </row>
    <row r="11" ht="21.0" customHeight="1">
      <c r="B11" s="53" t="s">
        <v>61</v>
      </c>
      <c r="C11" s="54" t="s">
        <v>53</v>
      </c>
      <c r="D11" s="54" t="s">
        <v>54</v>
      </c>
      <c r="E11" s="54" t="s">
        <v>55</v>
      </c>
      <c r="F11" s="54" t="s">
        <v>56</v>
      </c>
      <c r="G11" s="55">
        <v>46274.0</v>
      </c>
      <c r="H11" s="55">
        <v>46276.0</v>
      </c>
      <c r="I11" s="56" t="s">
        <v>57</v>
      </c>
      <c r="J11" s="56" t="s">
        <v>62</v>
      </c>
      <c r="K11" s="57">
        <v>15.0</v>
      </c>
      <c r="L11" s="58">
        <f t="shared" si="1"/>
        <v>0</v>
      </c>
      <c r="M11" s="59" t="str">
        <f t="shared" si="2"/>
        <v>✅ Selesai</v>
      </c>
      <c r="N11" s="60">
        <v>25000.0</v>
      </c>
      <c r="O11" s="54" t="s">
        <v>63</v>
      </c>
      <c r="P11" s="61" t="s">
        <v>60</v>
      </c>
      <c r="Q11" s="62"/>
      <c r="R11" s="62"/>
      <c r="S11" s="62"/>
    </row>
    <row r="12" ht="21.0" customHeight="1">
      <c r="B12" s="53" t="s">
        <v>64</v>
      </c>
      <c r="C12" s="54" t="s">
        <v>65</v>
      </c>
      <c r="D12" s="54" t="s">
        <v>54</v>
      </c>
      <c r="E12" s="54" t="s">
        <v>55</v>
      </c>
      <c r="F12" s="54" t="s">
        <v>56</v>
      </c>
      <c r="G12" s="55">
        <v>46275.0</v>
      </c>
      <c r="H12" s="55">
        <v>46276.0</v>
      </c>
      <c r="I12" s="56" t="s">
        <v>57</v>
      </c>
      <c r="J12" s="56" t="s">
        <v>62</v>
      </c>
      <c r="K12" s="57">
        <v>180.0</v>
      </c>
      <c r="L12" s="58">
        <f t="shared" si="1"/>
        <v>0</v>
      </c>
      <c r="M12" s="59" t="str">
        <f t="shared" si="2"/>
        <v>✅ Selesai</v>
      </c>
      <c r="N12" s="60">
        <v>35000.0</v>
      </c>
      <c r="O12" s="63" t="s">
        <v>59</v>
      </c>
      <c r="P12" s="61" t="s">
        <v>60</v>
      </c>
      <c r="Q12" s="62"/>
      <c r="R12" s="62"/>
      <c r="S12" s="62"/>
    </row>
    <row r="13" ht="21.0" customHeight="1">
      <c r="B13" s="53" t="s">
        <v>66</v>
      </c>
      <c r="C13" s="54" t="s">
        <v>67</v>
      </c>
      <c r="D13" s="54" t="s">
        <v>68</v>
      </c>
      <c r="E13" s="54" t="s">
        <v>55</v>
      </c>
      <c r="F13" s="54" t="s">
        <v>56</v>
      </c>
      <c r="G13" s="55">
        <v>46266.0</v>
      </c>
      <c r="H13" s="55">
        <v>46272.0</v>
      </c>
      <c r="I13" s="56" t="s">
        <v>57</v>
      </c>
      <c r="J13" s="56" t="s">
        <v>62</v>
      </c>
      <c r="K13" s="57">
        <v>90.0</v>
      </c>
      <c r="L13" s="58">
        <f t="shared" si="1"/>
        <v>0</v>
      </c>
      <c r="M13" s="59" t="str">
        <f t="shared" si="2"/>
        <v>✅ Selesai</v>
      </c>
      <c r="N13" s="60">
        <v>50000.0</v>
      </c>
      <c r="O13" s="54" t="s">
        <v>59</v>
      </c>
      <c r="P13" s="61" t="s">
        <v>69</v>
      </c>
      <c r="Q13" s="62"/>
      <c r="R13" s="62"/>
      <c r="S13" s="62"/>
    </row>
    <row r="14" ht="21.0" customHeight="1">
      <c r="B14" s="53" t="s">
        <v>70</v>
      </c>
      <c r="C14" s="54" t="s">
        <v>71</v>
      </c>
      <c r="D14" s="54" t="s">
        <v>68</v>
      </c>
      <c r="E14" s="54" t="s">
        <v>55</v>
      </c>
      <c r="F14" s="54" t="s">
        <v>56</v>
      </c>
      <c r="G14" s="55">
        <v>46266.0</v>
      </c>
      <c r="H14" s="55">
        <v>46276.0</v>
      </c>
      <c r="I14" s="56" t="s">
        <v>57</v>
      </c>
      <c r="J14" s="56" t="s">
        <v>62</v>
      </c>
      <c r="K14" s="57">
        <v>60.0</v>
      </c>
      <c r="L14" s="58">
        <f t="shared" si="1"/>
        <v>0</v>
      </c>
      <c r="M14" s="59" t="str">
        <f t="shared" si="2"/>
        <v>✅ Selesai</v>
      </c>
      <c r="N14" s="60">
        <v>50000.0</v>
      </c>
      <c r="O14" s="54" t="s">
        <v>59</v>
      </c>
      <c r="P14" s="61" t="s">
        <v>69</v>
      </c>
      <c r="Q14" s="62"/>
      <c r="R14" s="62"/>
      <c r="S14" s="62"/>
    </row>
    <row r="15" ht="21.0" customHeight="1">
      <c r="B15" s="53" t="s">
        <v>72</v>
      </c>
      <c r="C15" s="54" t="s">
        <v>73</v>
      </c>
      <c r="D15" s="54" t="s">
        <v>68</v>
      </c>
      <c r="E15" s="54" t="s">
        <v>55</v>
      </c>
      <c r="F15" s="54" t="s">
        <v>56</v>
      </c>
      <c r="G15" s="55">
        <v>46297.0</v>
      </c>
      <c r="H15" s="55">
        <v>46278.0</v>
      </c>
      <c r="I15" s="56" t="s">
        <v>57</v>
      </c>
      <c r="J15" s="56" t="s">
        <v>58</v>
      </c>
      <c r="K15" s="57">
        <v>45.0</v>
      </c>
      <c r="L15" s="58">
        <f t="shared" si="1"/>
        <v>0</v>
      </c>
      <c r="M15" s="59" t="str">
        <f t="shared" si="2"/>
        <v>✅ Selesai</v>
      </c>
      <c r="N15" s="60">
        <v>50000.0</v>
      </c>
      <c r="O15" s="54" t="s">
        <v>59</v>
      </c>
      <c r="P15" s="64" t="s">
        <v>69</v>
      </c>
      <c r="Q15" s="65"/>
      <c r="R15" s="65"/>
      <c r="S15" s="65"/>
    </row>
    <row r="16">
      <c r="A16" s="66"/>
      <c r="B16" s="67" t="s">
        <v>74</v>
      </c>
      <c r="C16" s="68" t="s">
        <v>75</v>
      </c>
      <c r="D16" s="68" t="s">
        <v>76</v>
      </c>
      <c r="E16" s="69" t="s">
        <v>55</v>
      </c>
      <c r="F16" s="69" t="s">
        <v>77</v>
      </c>
      <c r="G16" s="70">
        <v>46274.0</v>
      </c>
      <c r="H16" s="70">
        <v>46282.0</v>
      </c>
      <c r="I16" s="71" t="s">
        <v>57</v>
      </c>
      <c r="J16" s="72" t="s">
        <v>58</v>
      </c>
      <c r="K16" s="73">
        <v>30.0</v>
      </c>
      <c r="L16" s="74">
        <f t="shared" si="1"/>
        <v>0</v>
      </c>
      <c r="M16" s="75" t="str">
        <f t="shared" si="2"/>
        <v>✅ Selesai</v>
      </c>
      <c r="N16" s="76">
        <v>0.0</v>
      </c>
      <c r="O16" s="69" t="s">
        <v>63</v>
      </c>
      <c r="P16" s="77" t="s">
        <v>60</v>
      </c>
      <c r="Q16" s="78" t="s">
        <v>78</v>
      </c>
      <c r="R16" s="79"/>
      <c r="S16" s="79"/>
      <c r="T16" s="66"/>
      <c r="U16" s="66"/>
      <c r="V16" s="66"/>
      <c r="W16" s="66"/>
      <c r="X16" s="66"/>
      <c r="Y16" s="66"/>
      <c r="Z16" s="66"/>
    </row>
    <row r="17">
      <c r="A17" s="66"/>
      <c r="B17" s="80" t="s">
        <v>79</v>
      </c>
      <c r="C17" s="68" t="s">
        <v>80</v>
      </c>
      <c r="D17" s="68" t="s">
        <v>81</v>
      </c>
      <c r="E17" s="69" t="s">
        <v>82</v>
      </c>
      <c r="F17" s="69" t="s">
        <v>77</v>
      </c>
      <c r="G17" s="70">
        <v>46275.0</v>
      </c>
      <c r="H17" s="70">
        <v>46292.0</v>
      </c>
      <c r="I17" s="71" t="s">
        <v>57</v>
      </c>
      <c r="J17" s="71" t="s">
        <v>62</v>
      </c>
      <c r="K17" s="73">
        <v>180.0</v>
      </c>
      <c r="L17" s="81">
        <f t="shared" si="1"/>
        <v>0</v>
      </c>
      <c r="M17" s="82" t="str">
        <f t="shared" si="2"/>
        <v>✅ Selesai</v>
      </c>
      <c r="N17" s="76">
        <v>0.0</v>
      </c>
      <c r="O17" s="69" t="s">
        <v>83</v>
      </c>
      <c r="P17" s="77" t="s">
        <v>60</v>
      </c>
      <c r="Q17" s="78" t="s">
        <v>84</v>
      </c>
      <c r="R17" s="79"/>
      <c r="S17" s="79"/>
      <c r="T17" s="66"/>
      <c r="U17" s="66"/>
      <c r="V17" s="66"/>
      <c r="W17" s="66"/>
      <c r="X17" s="66"/>
      <c r="Y17" s="66"/>
      <c r="Z17" s="66"/>
    </row>
    <row r="18">
      <c r="B18" s="83" t="s">
        <v>85</v>
      </c>
      <c r="C18" s="54" t="s">
        <v>86</v>
      </c>
      <c r="D18" s="54" t="s">
        <v>54</v>
      </c>
      <c r="E18" s="84" t="s">
        <v>82</v>
      </c>
      <c r="F18" s="84" t="s">
        <v>56</v>
      </c>
      <c r="G18" s="55">
        <v>46278.0</v>
      </c>
      <c r="H18" s="55">
        <v>46278.0</v>
      </c>
      <c r="I18" s="85" t="s">
        <v>57</v>
      </c>
      <c r="J18" s="85" t="s">
        <v>58</v>
      </c>
      <c r="K18" s="57">
        <v>500.0</v>
      </c>
      <c r="L18" s="86">
        <f t="shared" si="1"/>
        <v>0</v>
      </c>
      <c r="M18" s="86" t="str">
        <f t="shared" si="2"/>
        <v>✅ Selesai</v>
      </c>
      <c r="N18" s="87">
        <v>50000.0</v>
      </c>
      <c r="O18" s="84" t="s">
        <v>87</v>
      </c>
      <c r="P18" s="88" t="s">
        <v>60</v>
      </c>
      <c r="Q18" s="89"/>
      <c r="R18" s="89"/>
      <c r="S18" s="89"/>
    </row>
    <row r="19">
      <c r="B19" s="83" t="s">
        <v>88</v>
      </c>
      <c r="C19" s="54" t="s">
        <v>89</v>
      </c>
      <c r="D19" s="54" t="s">
        <v>90</v>
      </c>
      <c r="E19" s="84" t="s">
        <v>91</v>
      </c>
      <c r="F19" s="84" t="s">
        <v>56</v>
      </c>
      <c r="G19" s="55">
        <v>46280.0</v>
      </c>
      <c r="H19" s="55">
        <v>46280.0</v>
      </c>
      <c r="I19" s="85" t="s">
        <v>57</v>
      </c>
      <c r="J19" s="85" t="s">
        <v>58</v>
      </c>
      <c r="K19" s="57">
        <v>30.0</v>
      </c>
      <c r="L19" s="86">
        <f t="shared" si="1"/>
        <v>0</v>
      </c>
      <c r="M19" s="86" t="str">
        <f t="shared" si="2"/>
        <v>✅ Selesai</v>
      </c>
      <c r="N19" s="90">
        <v>0.0</v>
      </c>
      <c r="O19" s="84" t="s">
        <v>92</v>
      </c>
      <c r="P19" s="88" t="s">
        <v>60</v>
      </c>
      <c r="Q19" s="89"/>
      <c r="R19" s="89"/>
      <c r="S19" s="89"/>
    </row>
    <row r="20">
      <c r="B20" s="83" t="s">
        <v>93</v>
      </c>
      <c r="C20" s="91" t="s">
        <v>94</v>
      </c>
      <c r="D20" s="54" t="s">
        <v>68</v>
      </c>
      <c r="E20" s="84" t="s">
        <v>55</v>
      </c>
      <c r="F20" s="84" t="s">
        <v>56</v>
      </c>
      <c r="G20" s="55">
        <v>46281.0</v>
      </c>
      <c r="H20" s="55">
        <v>46284.0</v>
      </c>
      <c r="I20" s="85" t="s">
        <v>57</v>
      </c>
      <c r="J20" s="85" t="s">
        <v>62</v>
      </c>
      <c r="K20" s="57">
        <v>70.0</v>
      </c>
      <c r="L20" s="86">
        <f t="shared" si="1"/>
        <v>0</v>
      </c>
      <c r="M20" s="86" t="str">
        <f t="shared" si="2"/>
        <v>✅ Selesai</v>
      </c>
      <c r="N20" s="87">
        <v>50000.0</v>
      </c>
      <c r="O20" s="84" t="s">
        <v>59</v>
      </c>
      <c r="P20" s="88" t="s">
        <v>60</v>
      </c>
      <c r="Q20" s="89"/>
      <c r="R20" s="89"/>
      <c r="S20" s="89"/>
    </row>
    <row r="21">
      <c r="B21" s="83" t="s">
        <v>95</v>
      </c>
      <c r="C21" s="54" t="s">
        <v>96</v>
      </c>
      <c r="D21" s="54" t="s">
        <v>54</v>
      </c>
      <c r="E21" s="84" t="s">
        <v>55</v>
      </c>
      <c r="F21" s="84" t="s">
        <v>56</v>
      </c>
      <c r="G21" s="55">
        <v>46282.0</v>
      </c>
      <c r="H21" s="55">
        <v>46283.0</v>
      </c>
      <c r="I21" s="85" t="s">
        <v>57</v>
      </c>
      <c r="J21" s="85" t="s">
        <v>58</v>
      </c>
      <c r="K21" s="57">
        <v>540.0</v>
      </c>
      <c r="L21" s="86">
        <f t="shared" si="1"/>
        <v>0</v>
      </c>
      <c r="M21" s="86" t="str">
        <f t="shared" si="2"/>
        <v>✅ Selesai</v>
      </c>
      <c r="N21" s="87">
        <v>60000.0</v>
      </c>
      <c r="O21" s="84" t="s">
        <v>97</v>
      </c>
      <c r="P21" s="88" t="s">
        <v>60</v>
      </c>
      <c r="Q21" s="89"/>
      <c r="R21" s="89"/>
      <c r="S21" s="89"/>
    </row>
    <row r="22">
      <c r="A22" s="66"/>
      <c r="B22" s="80" t="s">
        <v>98</v>
      </c>
      <c r="C22" s="68" t="s">
        <v>99</v>
      </c>
      <c r="D22" s="68"/>
      <c r="E22" s="69" t="s">
        <v>55</v>
      </c>
      <c r="F22" s="69" t="s">
        <v>77</v>
      </c>
      <c r="G22" s="70">
        <v>46286.0</v>
      </c>
      <c r="H22" s="70">
        <v>46292.0</v>
      </c>
      <c r="I22" s="71" t="s">
        <v>57</v>
      </c>
      <c r="J22" s="71" t="s">
        <v>58</v>
      </c>
      <c r="K22" s="73">
        <v>60.0</v>
      </c>
      <c r="L22" s="81">
        <f t="shared" si="1"/>
        <v>0</v>
      </c>
      <c r="M22" s="81" t="str">
        <f t="shared" si="2"/>
        <v>✅ Selesai</v>
      </c>
      <c r="N22" s="76">
        <v>0.0</v>
      </c>
      <c r="O22" s="92"/>
      <c r="P22" s="93"/>
      <c r="Q22" s="94" t="s">
        <v>84</v>
      </c>
      <c r="R22" s="95"/>
      <c r="S22" s="95"/>
      <c r="T22" s="66"/>
      <c r="U22" s="66"/>
      <c r="V22" s="66"/>
      <c r="W22" s="66"/>
      <c r="X22" s="66"/>
      <c r="Y22" s="66"/>
      <c r="Z22" s="66"/>
    </row>
    <row r="23">
      <c r="A23" s="66"/>
      <c r="B23" s="80" t="s">
        <v>100</v>
      </c>
      <c r="C23" s="68" t="s">
        <v>101</v>
      </c>
      <c r="D23" s="68"/>
      <c r="E23" s="69" t="s">
        <v>55</v>
      </c>
      <c r="F23" s="69" t="s">
        <v>77</v>
      </c>
      <c r="G23" s="70">
        <v>46289.0</v>
      </c>
      <c r="H23" s="70">
        <v>46290.0</v>
      </c>
      <c r="I23" s="71" t="s">
        <v>57</v>
      </c>
      <c r="J23" s="71" t="s">
        <v>58</v>
      </c>
      <c r="K23" s="73">
        <v>30.0</v>
      </c>
      <c r="L23" s="81">
        <f t="shared" si="1"/>
        <v>0</v>
      </c>
      <c r="M23" s="81" t="str">
        <f t="shared" si="2"/>
        <v>✅ Selesai</v>
      </c>
      <c r="N23" s="76">
        <v>0.0</v>
      </c>
      <c r="O23" s="92"/>
      <c r="P23" s="93"/>
      <c r="Q23" s="94" t="s">
        <v>84</v>
      </c>
      <c r="R23" s="95"/>
      <c r="S23" s="95"/>
      <c r="T23" s="66"/>
      <c r="U23" s="66"/>
      <c r="V23" s="66"/>
      <c r="W23" s="66"/>
      <c r="X23" s="66"/>
      <c r="Y23" s="66"/>
      <c r="Z23" s="66"/>
    </row>
    <row r="24">
      <c r="B24" s="83"/>
      <c r="C24" s="54"/>
      <c r="D24" s="54"/>
      <c r="E24" s="84"/>
      <c r="F24" s="84"/>
      <c r="G24" s="55"/>
      <c r="H24" s="55"/>
      <c r="I24" s="85"/>
      <c r="J24" s="85"/>
      <c r="K24" s="57"/>
      <c r="L24" s="86"/>
      <c r="M24" s="86"/>
      <c r="N24" s="87"/>
      <c r="O24" s="84"/>
      <c r="P24" s="88"/>
      <c r="Q24" s="89"/>
      <c r="R24" s="89"/>
      <c r="S24" s="89"/>
    </row>
    <row r="25">
      <c r="B25" s="83" t="s">
        <v>7</v>
      </c>
      <c r="C25" s="54" t="s">
        <v>102</v>
      </c>
      <c r="D25" s="54" t="s">
        <v>103</v>
      </c>
      <c r="E25" s="84" t="s">
        <v>82</v>
      </c>
      <c r="F25" s="84" t="s">
        <v>56</v>
      </c>
      <c r="G25" s="55">
        <v>46308.0</v>
      </c>
      <c r="H25" s="55">
        <v>46309.0</v>
      </c>
      <c r="I25" s="85" t="s">
        <v>57</v>
      </c>
      <c r="J25" s="85" t="s">
        <v>58</v>
      </c>
      <c r="K25" s="57"/>
      <c r="L25" s="86">
        <f t="shared" ref="L25:L100" si="3">IF(H25="", "", IF(I25="Selesai", 0, H25-TODAY()))</f>
        <v>0</v>
      </c>
      <c r="M25" s="86" t="str">
        <f t="shared" ref="M25:M100" si="4">IF(L25="", "", IF(I25="Selesai", "✅ Selesai", IF(L25&lt;0, "⚠️ Terlambat", IF(L25&lt;=2, "🔥 Sangat Dekat", IF(L25&lt;=5, "⚡ Mendekati", "⏳ Terjadwal")))))</f>
        <v>✅ Selesai</v>
      </c>
      <c r="N25" s="96">
        <v>50000.0</v>
      </c>
      <c r="O25" s="84" t="s">
        <v>87</v>
      </c>
      <c r="P25" s="88" t="s">
        <v>60</v>
      </c>
      <c r="Q25" s="97" t="s">
        <v>104</v>
      </c>
      <c r="R25" s="89"/>
      <c r="S25" s="89"/>
    </row>
    <row r="26">
      <c r="B26" s="83" t="s">
        <v>9</v>
      </c>
      <c r="C26" s="54" t="s">
        <v>105</v>
      </c>
      <c r="D26" s="54" t="s">
        <v>103</v>
      </c>
      <c r="E26" s="84" t="s">
        <v>82</v>
      </c>
      <c r="F26" s="84" t="s">
        <v>56</v>
      </c>
      <c r="G26" s="55">
        <v>46308.0</v>
      </c>
      <c r="H26" s="55">
        <v>46309.0</v>
      </c>
      <c r="I26" s="85" t="s">
        <v>57</v>
      </c>
      <c r="J26" s="85" t="s">
        <v>58</v>
      </c>
      <c r="K26" s="57">
        <v>210.0</v>
      </c>
      <c r="L26" s="86">
        <f t="shared" si="3"/>
        <v>0</v>
      </c>
      <c r="M26" s="86" t="str">
        <f t="shared" si="4"/>
        <v>✅ Selesai</v>
      </c>
      <c r="N26" s="96">
        <v>40000.0</v>
      </c>
      <c r="O26" s="84" t="s">
        <v>87</v>
      </c>
      <c r="P26" s="88" t="s">
        <v>60</v>
      </c>
      <c r="Q26" s="97" t="s">
        <v>104</v>
      </c>
      <c r="R26" s="89"/>
      <c r="S26" s="89"/>
    </row>
    <row r="27">
      <c r="B27" s="83" t="s">
        <v>10</v>
      </c>
      <c r="C27" s="54" t="s">
        <v>106</v>
      </c>
      <c r="D27" s="54" t="s">
        <v>103</v>
      </c>
      <c r="E27" s="84" t="s">
        <v>82</v>
      </c>
      <c r="F27" s="84" t="s">
        <v>56</v>
      </c>
      <c r="G27" s="55">
        <v>46308.0</v>
      </c>
      <c r="H27" s="55">
        <v>46309.0</v>
      </c>
      <c r="I27" s="85" t="s">
        <v>57</v>
      </c>
      <c r="J27" s="85" t="s">
        <v>58</v>
      </c>
      <c r="K27" s="57" t="s">
        <v>107</v>
      </c>
      <c r="L27" s="86">
        <f t="shared" si="3"/>
        <v>0</v>
      </c>
      <c r="M27" s="86" t="str">
        <f t="shared" si="4"/>
        <v>✅ Selesai</v>
      </c>
      <c r="N27" s="90">
        <v>70000.0</v>
      </c>
      <c r="O27" s="98"/>
      <c r="P27" s="88" t="s">
        <v>60</v>
      </c>
      <c r="Q27" s="97" t="s">
        <v>108</v>
      </c>
      <c r="R27" s="89"/>
      <c r="S27" s="89"/>
    </row>
    <row r="28">
      <c r="B28" s="83" t="s">
        <v>11</v>
      </c>
      <c r="C28" s="54" t="s">
        <v>109</v>
      </c>
      <c r="D28" s="54" t="s">
        <v>103</v>
      </c>
      <c r="E28" s="84" t="s">
        <v>82</v>
      </c>
      <c r="F28" s="84" t="s">
        <v>56</v>
      </c>
      <c r="G28" s="55">
        <v>46308.0</v>
      </c>
      <c r="H28" s="55">
        <v>46310.0</v>
      </c>
      <c r="I28" s="85" t="s">
        <v>57</v>
      </c>
      <c r="J28" s="85" t="s">
        <v>58</v>
      </c>
      <c r="K28" s="57" t="s">
        <v>110</v>
      </c>
      <c r="L28" s="86">
        <f t="shared" si="3"/>
        <v>0</v>
      </c>
      <c r="M28" s="86" t="str">
        <f t="shared" si="4"/>
        <v>✅ Selesai</v>
      </c>
      <c r="N28" s="90">
        <v>50000.0</v>
      </c>
      <c r="O28" s="98"/>
      <c r="P28" s="88" t="s">
        <v>60</v>
      </c>
      <c r="Q28" s="97" t="s">
        <v>111</v>
      </c>
      <c r="R28" s="99"/>
      <c r="S28" s="99"/>
    </row>
    <row r="29">
      <c r="B29" s="83" t="s">
        <v>12</v>
      </c>
      <c r="C29" s="54" t="s">
        <v>112</v>
      </c>
      <c r="D29" s="54" t="s">
        <v>103</v>
      </c>
      <c r="E29" s="84" t="s">
        <v>55</v>
      </c>
      <c r="F29" s="84" t="s">
        <v>113</v>
      </c>
      <c r="G29" s="55">
        <v>46308.0</v>
      </c>
      <c r="H29" s="55">
        <v>46312.0</v>
      </c>
      <c r="I29" s="85" t="s">
        <v>57</v>
      </c>
      <c r="J29" s="85" t="s">
        <v>58</v>
      </c>
      <c r="K29" s="57" t="s">
        <v>114</v>
      </c>
      <c r="L29" s="86">
        <f t="shared" si="3"/>
        <v>0</v>
      </c>
      <c r="M29" s="86" t="str">
        <f t="shared" si="4"/>
        <v>✅ Selesai</v>
      </c>
      <c r="N29" s="90">
        <v>30000.0</v>
      </c>
      <c r="O29" s="84" t="s">
        <v>59</v>
      </c>
      <c r="P29" s="88" t="s">
        <v>60</v>
      </c>
      <c r="Q29" s="97" t="s">
        <v>115</v>
      </c>
      <c r="R29" s="99"/>
      <c r="S29" s="99"/>
    </row>
    <row r="30">
      <c r="B30" s="83" t="s">
        <v>95</v>
      </c>
      <c r="C30" s="84" t="s">
        <v>116</v>
      </c>
      <c r="D30" s="84" t="s">
        <v>54</v>
      </c>
      <c r="E30" s="84" t="s">
        <v>55</v>
      </c>
      <c r="F30" s="84" t="s">
        <v>56</v>
      </c>
      <c r="G30" s="55">
        <v>46308.0</v>
      </c>
      <c r="H30" s="55">
        <v>46310.0</v>
      </c>
      <c r="I30" s="85" t="s">
        <v>57</v>
      </c>
      <c r="J30" s="85" t="s">
        <v>58</v>
      </c>
      <c r="L30" s="86">
        <f t="shared" si="3"/>
        <v>0</v>
      </c>
      <c r="M30" s="86" t="str">
        <f t="shared" si="4"/>
        <v>✅ Selesai</v>
      </c>
      <c r="N30" s="90">
        <v>25000.0</v>
      </c>
      <c r="O30" s="84" t="s">
        <v>59</v>
      </c>
      <c r="P30" s="88" t="s">
        <v>60</v>
      </c>
      <c r="Q30" s="97" t="s">
        <v>117</v>
      </c>
      <c r="R30" s="89"/>
      <c r="S30" s="89"/>
    </row>
    <row r="31">
      <c r="B31" s="83" t="s">
        <v>118</v>
      </c>
      <c r="C31" s="84" t="s">
        <v>116</v>
      </c>
      <c r="D31" s="84" t="s">
        <v>54</v>
      </c>
      <c r="E31" s="84" t="s">
        <v>55</v>
      </c>
      <c r="F31" s="84" t="s">
        <v>56</v>
      </c>
      <c r="G31" s="55">
        <v>46308.0</v>
      </c>
      <c r="H31" s="55">
        <v>46310.0</v>
      </c>
      <c r="I31" s="85" t="s">
        <v>57</v>
      </c>
      <c r="J31" s="85" t="s">
        <v>58</v>
      </c>
      <c r="L31" s="86">
        <f t="shared" si="3"/>
        <v>0</v>
      </c>
      <c r="M31" s="86" t="str">
        <f t="shared" si="4"/>
        <v>✅ Selesai</v>
      </c>
      <c r="N31" s="90">
        <v>25000.0</v>
      </c>
      <c r="O31" s="84" t="s">
        <v>59</v>
      </c>
      <c r="P31" s="88" t="s">
        <v>60</v>
      </c>
      <c r="Q31" s="97" t="s">
        <v>117</v>
      </c>
      <c r="R31" s="89"/>
      <c r="S31" s="89"/>
    </row>
    <row r="32">
      <c r="B32" s="83" t="s">
        <v>119</v>
      </c>
      <c r="C32" s="84" t="s">
        <v>116</v>
      </c>
      <c r="D32" s="84" t="s">
        <v>54</v>
      </c>
      <c r="E32" s="84" t="s">
        <v>55</v>
      </c>
      <c r="F32" s="84" t="s">
        <v>56</v>
      </c>
      <c r="G32" s="55">
        <v>46308.0</v>
      </c>
      <c r="H32" s="55">
        <v>46310.0</v>
      </c>
      <c r="I32" s="85" t="s">
        <v>57</v>
      </c>
      <c r="J32" s="85" t="s">
        <v>58</v>
      </c>
      <c r="L32" s="86">
        <f t="shared" si="3"/>
        <v>0</v>
      </c>
      <c r="M32" s="86" t="str">
        <f t="shared" si="4"/>
        <v>✅ Selesai</v>
      </c>
      <c r="N32" s="90">
        <v>25000.0</v>
      </c>
      <c r="O32" s="84" t="s">
        <v>59</v>
      </c>
      <c r="P32" s="88" t="s">
        <v>60</v>
      </c>
      <c r="Q32" s="97" t="s">
        <v>117</v>
      </c>
      <c r="R32" s="89"/>
      <c r="S32" s="89"/>
    </row>
    <row r="33">
      <c r="B33" s="83" t="s">
        <v>120</v>
      </c>
      <c r="C33" s="84" t="s">
        <v>121</v>
      </c>
      <c r="D33" s="84" t="s">
        <v>68</v>
      </c>
      <c r="E33" s="84" t="s">
        <v>55</v>
      </c>
      <c r="F33" s="84" t="s">
        <v>56</v>
      </c>
      <c r="G33" s="55"/>
      <c r="H33" s="55"/>
      <c r="I33" s="85" t="s">
        <v>57</v>
      </c>
      <c r="J33" s="85" t="s">
        <v>58</v>
      </c>
      <c r="K33" s="86"/>
      <c r="L33" s="86" t="str">
        <f t="shared" si="3"/>
        <v/>
      </c>
      <c r="M33" s="86" t="str">
        <f t="shared" si="4"/>
        <v/>
      </c>
      <c r="N33" s="90">
        <v>50000.0</v>
      </c>
      <c r="O33" s="84" t="s">
        <v>59</v>
      </c>
      <c r="P33" s="88" t="s">
        <v>69</v>
      </c>
      <c r="Q33" s="99"/>
      <c r="R33" s="99"/>
      <c r="S33" s="99"/>
    </row>
    <row r="34">
      <c r="A34" s="66"/>
      <c r="B34" s="80" t="s">
        <v>122</v>
      </c>
      <c r="C34" s="69" t="s">
        <v>123</v>
      </c>
      <c r="D34" s="69" t="s">
        <v>103</v>
      </c>
      <c r="E34" s="69" t="s">
        <v>82</v>
      </c>
      <c r="F34" s="69" t="s">
        <v>77</v>
      </c>
      <c r="G34" s="70">
        <v>46309.0</v>
      </c>
      <c r="H34" s="70">
        <v>46310.0</v>
      </c>
      <c r="I34" s="71" t="s">
        <v>124</v>
      </c>
      <c r="J34" s="71" t="s">
        <v>58</v>
      </c>
      <c r="K34" s="76" t="s">
        <v>125</v>
      </c>
      <c r="L34" s="81">
        <f t="shared" si="3"/>
        <v>-11</v>
      </c>
      <c r="M34" s="81" t="str">
        <f t="shared" si="4"/>
        <v>⚠️ Terlambat</v>
      </c>
      <c r="N34" s="76">
        <v>0.0</v>
      </c>
      <c r="O34" s="69" t="s">
        <v>63</v>
      </c>
      <c r="P34" s="100" t="s">
        <v>69</v>
      </c>
      <c r="Q34" s="101" t="s">
        <v>126</v>
      </c>
      <c r="R34" s="101" t="s">
        <v>127</v>
      </c>
      <c r="S34" s="94" t="s">
        <v>128</v>
      </c>
      <c r="T34" s="66"/>
      <c r="U34" s="66"/>
      <c r="V34" s="66"/>
      <c r="W34" s="66"/>
      <c r="X34" s="66"/>
      <c r="Y34" s="66"/>
      <c r="Z34" s="66"/>
    </row>
    <row r="35">
      <c r="B35" s="83" t="s">
        <v>13</v>
      </c>
      <c r="C35" s="84" t="s">
        <v>129</v>
      </c>
      <c r="D35" s="84" t="s">
        <v>103</v>
      </c>
      <c r="E35" s="84" t="s">
        <v>82</v>
      </c>
      <c r="F35" s="84" t="s">
        <v>56</v>
      </c>
      <c r="G35" s="55">
        <v>46309.0</v>
      </c>
      <c r="H35" s="55">
        <v>46311.0</v>
      </c>
      <c r="I35" s="85" t="s">
        <v>57</v>
      </c>
      <c r="J35" s="85" t="s">
        <v>62</v>
      </c>
      <c r="K35" s="90" t="s">
        <v>130</v>
      </c>
      <c r="L35" s="86">
        <f t="shared" si="3"/>
        <v>0</v>
      </c>
      <c r="M35" s="86" t="str">
        <f t="shared" si="4"/>
        <v>✅ Selesai</v>
      </c>
      <c r="N35" s="90">
        <v>50000.0</v>
      </c>
      <c r="O35" s="84" t="s">
        <v>87</v>
      </c>
      <c r="P35" s="88" t="s">
        <v>60</v>
      </c>
      <c r="Q35" s="97" t="s">
        <v>131</v>
      </c>
      <c r="R35" s="97" t="s">
        <v>132</v>
      </c>
      <c r="S35" s="89"/>
    </row>
    <row r="36">
      <c r="B36" s="83" t="s">
        <v>14</v>
      </c>
      <c r="C36" s="84" t="s">
        <v>96</v>
      </c>
      <c r="D36" s="84" t="s">
        <v>103</v>
      </c>
      <c r="E36" s="84" t="s">
        <v>55</v>
      </c>
      <c r="F36" s="84" t="s">
        <v>56</v>
      </c>
      <c r="G36" s="55">
        <v>46309.0</v>
      </c>
      <c r="H36" s="55">
        <v>46310.0</v>
      </c>
      <c r="I36" s="85" t="s">
        <v>57</v>
      </c>
      <c r="J36" s="85" t="s">
        <v>58</v>
      </c>
      <c r="K36" s="90" t="s">
        <v>110</v>
      </c>
      <c r="L36" s="86">
        <f t="shared" si="3"/>
        <v>0</v>
      </c>
      <c r="M36" s="86" t="str">
        <f t="shared" si="4"/>
        <v>✅ Selesai</v>
      </c>
      <c r="N36" s="90">
        <v>50000.0</v>
      </c>
      <c r="O36" s="84" t="s">
        <v>63</v>
      </c>
      <c r="P36" s="88" t="s">
        <v>60</v>
      </c>
      <c r="Q36" s="97" t="s">
        <v>133</v>
      </c>
      <c r="R36" s="97" t="s">
        <v>134</v>
      </c>
      <c r="S36" s="89"/>
    </row>
    <row r="37">
      <c r="B37" s="83" t="s">
        <v>15</v>
      </c>
      <c r="C37" s="84" t="s">
        <v>135</v>
      </c>
      <c r="D37" s="84" t="s">
        <v>103</v>
      </c>
      <c r="E37" s="84" t="s">
        <v>55</v>
      </c>
      <c r="F37" s="84" t="s">
        <v>56</v>
      </c>
      <c r="G37" s="55">
        <v>46309.0</v>
      </c>
      <c r="H37" s="55">
        <v>46310.0</v>
      </c>
      <c r="I37" s="85" t="s">
        <v>57</v>
      </c>
      <c r="J37" s="85" t="s">
        <v>58</v>
      </c>
      <c r="K37" s="90" t="s">
        <v>136</v>
      </c>
      <c r="L37" s="86">
        <f t="shared" si="3"/>
        <v>0</v>
      </c>
      <c r="M37" s="86" t="str">
        <f t="shared" si="4"/>
        <v>✅ Selesai</v>
      </c>
      <c r="N37" s="90">
        <v>60000.0</v>
      </c>
      <c r="O37" s="84" t="s">
        <v>59</v>
      </c>
      <c r="P37" s="88" t="s">
        <v>60</v>
      </c>
      <c r="Q37" s="97" t="s">
        <v>137</v>
      </c>
      <c r="R37" s="97" t="s">
        <v>138</v>
      </c>
      <c r="S37" s="97" t="s">
        <v>139</v>
      </c>
    </row>
    <row r="38">
      <c r="B38" s="83" t="s">
        <v>16</v>
      </c>
      <c r="C38" s="84" t="s">
        <v>140</v>
      </c>
      <c r="D38" s="84" t="s">
        <v>103</v>
      </c>
      <c r="E38" s="84" t="s">
        <v>141</v>
      </c>
      <c r="F38" s="84" t="s">
        <v>56</v>
      </c>
      <c r="G38" s="55">
        <v>46310.0</v>
      </c>
      <c r="H38" s="55">
        <v>46314.0</v>
      </c>
      <c r="I38" s="85" t="s">
        <v>57</v>
      </c>
      <c r="J38" s="85" t="s">
        <v>58</v>
      </c>
      <c r="K38" s="90" t="s">
        <v>142</v>
      </c>
      <c r="L38" s="86">
        <f t="shared" si="3"/>
        <v>0</v>
      </c>
      <c r="M38" s="86" t="str">
        <f t="shared" si="4"/>
        <v>✅ Selesai</v>
      </c>
      <c r="N38" s="90">
        <v>50000.0</v>
      </c>
      <c r="O38" s="84" t="s">
        <v>87</v>
      </c>
      <c r="P38" s="88" t="s">
        <v>60</v>
      </c>
      <c r="Q38" s="97" t="s">
        <v>143</v>
      </c>
      <c r="R38" s="97" t="s">
        <v>144</v>
      </c>
      <c r="S38" s="99"/>
    </row>
    <row r="39">
      <c r="B39" s="83" t="s">
        <v>17</v>
      </c>
      <c r="C39" s="84" t="s">
        <v>145</v>
      </c>
      <c r="D39" s="84" t="s">
        <v>103</v>
      </c>
      <c r="E39" s="84" t="s">
        <v>55</v>
      </c>
      <c r="F39" s="84" t="s">
        <v>56</v>
      </c>
      <c r="G39" s="55">
        <v>46310.0</v>
      </c>
      <c r="H39" s="55">
        <v>46311.0</v>
      </c>
      <c r="I39" s="85" t="s">
        <v>57</v>
      </c>
      <c r="J39" s="85" t="s">
        <v>58</v>
      </c>
      <c r="K39" s="90" t="s">
        <v>146</v>
      </c>
      <c r="L39" s="86">
        <f t="shared" si="3"/>
        <v>0</v>
      </c>
      <c r="M39" s="86" t="str">
        <f t="shared" si="4"/>
        <v>✅ Selesai</v>
      </c>
      <c r="N39" s="90">
        <v>40000.0</v>
      </c>
      <c r="O39" s="84" t="s">
        <v>59</v>
      </c>
      <c r="P39" s="88" t="s">
        <v>60</v>
      </c>
      <c r="Q39" s="97" t="s">
        <v>147</v>
      </c>
      <c r="R39" s="97" t="s">
        <v>148</v>
      </c>
      <c r="S39" s="99"/>
    </row>
    <row r="40">
      <c r="B40" s="83" t="s">
        <v>18</v>
      </c>
      <c r="C40" s="84" t="s">
        <v>149</v>
      </c>
      <c r="D40" s="84" t="s">
        <v>103</v>
      </c>
      <c r="E40" s="84" t="s">
        <v>55</v>
      </c>
      <c r="F40" s="84" t="s">
        <v>56</v>
      </c>
      <c r="G40" s="55">
        <v>46312.0</v>
      </c>
      <c r="H40" s="55">
        <v>46313.0</v>
      </c>
      <c r="I40" s="85" t="s">
        <v>57</v>
      </c>
      <c r="J40" s="85" t="s">
        <v>58</v>
      </c>
      <c r="K40" s="90" t="s">
        <v>150</v>
      </c>
      <c r="L40" s="86">
        <f t="shared" si="3"/>
        <v>0</v>
      </c>
      <c r="M40" s="86" t="str">
        <f t="shared" si="4"/>
        <v>✅ Selesai</v>
      </c>
      <c r="N40" s="90">
        <v>40000.0</v>
      </c>
      <c r="O40" s="84" t="s">
        <v>97</v>
      </c>
      <c r="P40" s="88" t="s">
        <v>60</v>
      </c>
      <c r="Q40" s="97" t="s">
        <v>151</v>
      </c>
      <c r="R40" s="97" t="s">
        <v>152</v>
      </c>
      <c r="S40" s="99"/>
    </row>
    <row r="41">
      <c r="B41" s="83" t="s">
        <v>19</v>
      </c>
      <c r="C41" s="84" t="s">
        <v>153</v>
      </c>
      <c r="D41" s="84" t="s">
        <v>103</v>
      </c>
      <c r="E41" s="84" t="s">
        <v>55</v>
      </c>
      <c r="F41" s="84" t="s">
        <v>56</v>
      </c>
      <c r="G41" s="55">
        <v>46312.0</v>
      </c>
      <c r="H41" s="55">
        <v>46314.0</v>
      </c>
      <c r="I41" s="85" t="s">
        <v>57</v>
      </c>
      <c r="J41" s="85" t="s">
        <v>58</v>
      </c>
      <c r="K41" s="90" t="s">
        <v>110</v>
      </c>
      <c r="L41" s="86">
        <f t="shared" si="3"/>
        <v>0</v>
      </c>
      <c r="M41" s="86" t="str">
        <f t="shared" si="4"/>
        <v>✅ Selesai</v>
      </c>
      <c r="N41" s="90">
        <v>50000.0</v>
      </c>
      <c r="O41" s="84" t="s">
        <v>97</v>
      </c>
      <c r="P41" s="88" t="s">
        <v>60</v>
      </c>
      <c r="Q41" s="97" t="s">
        <v>154</v>
      </c>
      <c r="R41" s="97" t="s">
        <v>111</v>
      </c>
      <c r="S41" s="99"/>
    </row>
    <row r="42">
      <c r="B42" s="83" t="s">
        <v>155</v>
      </c>
      <c r="C42" s="84" t="s">
        <v>156</v>
      </c>
      <c r="D42" s="84" t="s">
        <v>103</v>
      </c>
      <c r="E42" s="84" t="s">
        <v>82</v>
      </c>
      <c r="F42" s="84" t="s">
        <v>56</v>
      </c>
      <c r="G42" s="55">
        <v>46316.0</v>
      </c>
      <c r="H42" s="55">
        <v>46319.0</v>
      </c>
      <c r="I42" s="85" t="s">
        <v>57</v>
      </c>
      <c r="J42" s="85" t="s">
        <v>58</v>
      </c>
      <c r="K42" s="90" t="s">
        <v>157</v>
      </c>
      <c r="L42" s="86">
        <f t="shared" si="3"/>
        <v>0</v>
      </c>
      <c r="M42" s="86" t="str">
        <f t="shared" si="4"/>
        <v>✅ Selesai</v>
      </c>
      <c r="N42" s="90">
        <v>70000.0</v>
      </c>
      <c r="O42" s="84" t="s">
        <v>97</v>
      </c>
      <c r="P42" s="88" t="s">
        <v>69</v>
      </c>
      <c r="Q42" s="97" t="s">
        <v>147</v>
      </c>
      <c r="R42" s="99"/>
      <c r="S42" s="99"/>
    </row>
    <row r="43">
      <c r="B43" s="83" t="s">
        <v>158</v>
      </c>
      <c r="C43" s="84" t="s">
        <v>159</v>
      </c>
      <c r="D43" s="84" t="s">
        <v>103</v>
      </c>
      <c r="E43" s="84" t="s">
        <v>82</v>
      </c>
      <c r="F43" s="84" t="s">
        <v>56</v>
      </c>
      <c r="G43" s="55">
        <v>46316.0</v>
      </c>
      <c r="H43" s="55">
        <v>46317.0</v>
      </c>
      <c r="I43" s="85" t="s">
        <v>57</v>
      </c>
      <c r="J43" s="85" t="s">
        <v>58</v>
      </c>
      <c r="K43" s="90" t="s">
        <v>114</v>
      </c>
      <c r="L43" s="86">
        <f t="shared" si="3"/>
        <v>0</v>
      </c>
      <c r="M43" s="86" t="str">
        <f t="shared" si="4"/>
        <v>✅ Selesai</v>
      </c>
      <c r="N43" s="90">
        <v>30000.0</v>
      </c>
      <c r="O43" s="84" t="s">
        <v>97</v>
      </c>
      <c r="P43" s="88" t="s">
        <v>69</v>
      </c>
      <c r="Q43" s="97" t="s">
        <v>160</v>
      </c>
      <c r="R43" s="99"/>
      <c r="S43" s="99"/>
    </row>
    <row r="44">
      <c r="B44" s="83" t="s">
        <v>161</v>
      </c>
      <c r="C44" s="84" t="s">
        <v>162</v>
      </c>
      <c r="D44" s="84" t="s">
        <v>68</v>
      </c>
      <c r="E44" s="84" t="s">
        <v>55</v>
      </c>
      <c r="F44" s="84" t="s">
        <v>163</v>
      </c>
      <c r="G44" s="55">
        <v>46317.0</v>
      </c>
      <c r="H44" s="55">
        <v>46319.0</v>
      </c>
      <c r="I44" s="85" t="s">
        <v>164</v>
      </c>
      <c r="J44" s="85" t="s">
        <v>58</v>
      </c>
      <c r="K44" s="90">
        <v>1.0</v>
      </c>
      <c r="L44" s="86">
        <f t="shared" si="3"/>
        <v>-2</v>
      </c>
      <c r="M44" s="86" t="str">
        <f t="shared" si="4"/>
        <v>⚠️ Terlambat</v>
      </c>
      <c r="N44" s="90">
        <v>50000.0</v>
      </c>
      <c r="O44" s="84" t="s">
        <v>59</v>
      </c>
      <c r="P44" s="88" t="s">
        <v>69</v>
      </c>
      <c r="Q44" s="99"/>
      <c r="R44" s="99"/>
      <c r="S44" s="99"/>
    </row>
    <row r="45">
      <c r="B45" s="83" t="s">
        <v>165</v>
      </c>
      <c r="C45" s="84" t="s">
        <v>166</v>
      </c>
      <c r="D45" s="84" t="s">
        <v>68</v>
      </c>
      <c r="E45" s="84" t="s">
        <v>55</v>
      </c>
      <c r="F45" s="84" t="s">
        <v>167</v>
      </c>
      <c r="G45" s="55">
        <v>46317.0</v>
      </c>
      <c r="H45" s="55">
        <v>46320.0</v>
      </c>
      <c r="I45" s="85" t="s">
        <v>164</v>
      </c>
      <c r="J45" s="85" t="s">
        <v>58</v>
      </c>
      <c r="K45" s="90">
        <v>1.0</v>
      </c>
      <c r="L45" s="86">
        <f t="shared" si="3"/>
        <v>-1</v>
      </c>
      <c r="M45" s="86" t="str">
        <f t="shared" si="4"/>
        <v>⚠️ Terlambat</v>
      </c>
      <c r="N45" s="90">
        <v>50000.0</v>
      </c>
      <c r="O45" s="84" t="s">
        <v>59</v>
      </c>
      <c r="P45" s="88" t="s">
        <v>69</v>
      </c>
      <c r="Q45" s="99"/>
      <c r="R45" s="99"/>
      <c r="S45" s="99"/>
    </row>
    <row r="46">
      <c r="B46" s="83" t="s">
        <v>168</v>
      </c>
      <c r="C46" s="84" t="s">
        <v>169</v>
      </c>
      <c r="D46" s="84" t="s">
        <v>103</v>
      </c>
      <c r="E46" s="84" t="s">
        <v>82</v>
      </c>
      <c r="F46" s="84" t="s">
        <v>56</v>
      </c>
      <c r="G46" s="55">
        <v>46317.0</v>
      </c>
      <c r="H46" s="55">
        <v>46319.0</v>
      </c>
      <c r="I46" s="85" t="s">
        <v>57</v>
      </c>
      <c r="J46" s="85" t="s">
        <v>58</v>
      </c>
      <c r="K46" s="102">
        <v>46115.0</v>
      </c>
      <c r="L46" s="86">
        <f t="shared" si="3"/>
        <v>0</v>
      </c>
      <c r="M46" s="86" t="str">
        <f t="shared" si="4"/>
        <v>✅ Selesai</v>
      </c>
      <c r="N46" s="90">
        <v>40000.0</v>
      </c>
      <c r="O46" s="84" t="s">
        <v>63</v>
      </c>
      <c r="P46" s="88" t="s">
        <v>69</v>
      </c>
      <c r="Q46" s="97" t="s">
        <v>170</v>
      </c>
      <c r="R46" s="99"/>
      <c r="S46" s="99"/>
    </row>
    <row r="47">
      <c r="B47" s="83" t="s">
        <v>171</v>
      </c>
      <c r="C47" s="84" t="s">
        <v>172</v>
      </c>
      <c r="D47" s="84" t="s">
        <v>103</v>
      </c>
      <c r="E47" s="84" t="s">
        <v>82</v>
      </c>
      <c r="F47" s="84" t="s">
        <v>56</v>
      </c>
      <c r="G47" s="55">
        <v>46319.0</v>
      </c>
      <c r="H47" s="55">
        <v>46320.0</v>
      </c>
      <c r="I47" s="85" t="s">
        <v>173</v>
      </c>
      <c r="J47" s="85" t="s">
        <v>58</v>
      </c>
      <c r="K47" s="90" t="s">
        <v>110</v>
      </c>
      <c r="L47" s="86">
        <f t="shared" si="3"/>
        <v>-1</v>
      </c>
      <c r="M47" s="86" t="str">
        <f t="shared" si="4"/>
        <v>⚠️ Terlambat</v>
      </c>
      <c r="N47" s="90">
        <v>90000.0</v>
      </c>
      <c r="O47" s="84" t="s">
        <v>97</v>
      </c>
      <c r="P47" s="88" t="s">
        <v>69</v>
      </c>
      <c r="Q47" s="97" t="s">
        <v>174</v>
      </c>
      <c r="R47" s="99"/>
      <c r="S47" s="99"/>
    </row>
    <row r="48">
      <c r="B48" s="83" t="s">
        <v>175</v>
      </c>
      <c r="C48" s="84" t="s">
        <v>176</v>
      </c>
      <c r="D48" s="84" t="s">
        <v>103</v>
      </c>
      <c r="E48" s="84" t="s">
        <v>82</v>
      </c>
      <c r="F48" s="84" t="s">
        <v>56</v>
      </c>
      <c r="G48" s="55">
        <v>46320.0</v>
      </c>
      <c r="H48" s="55">
        <v>46321.0</v>
      </c>
      <c r="I48" s="85" t="s">
        <v>57</v>
      </c>
      <c r="J48" s="85" t="s">
        <v>58</v>
      </c>
      <c r="K48" s="90" t="s">
        <v>177</v>
      </c>
      <c r="L48" s="86">
        <f t="shared" si="3"/>
        <v>0</v>
      </c>
      <c r="M48" s="86" t="str">
        <f t="shared" si="4"/>
        <v>✅ Selesai</v>
      </c>
      <c r="N48" s="90">
        <v>90000.0</v>
      </c>
      <c r="O48" s="84" t="s">
        <v>97</v>
      </c>
      <c r="P48" s="88" t="s">
        <v>69</v>
      </c>
      <c r="Q48" s="97" t="s">
        <v>178</v>
      </c>
      <c r="R48" s="99"/>
      <c r="S48" s="99"/>
    </row>
    <row r="49">
      <c r="B49" s="83" t="s">
        <v>179</v>
      </c>
      <c r="C49" s="84" t="s">
        <v>180</v>
      </c>
      <c r="D49" s="84" t="s">
        <v>103</v>
      </c>
      <c r="E49" s="84" t="s">
        <v>55</v>
      </c>
      <c r="F49" s="84" t="s">
        <v>77</v>
      </c>
      <c r="G49" s="55">
        <v>46320.0</v>
      </c>
      <c r="H49" s="55">
        <v>46322.0</v>
      </c>
      <c r="I49" s="85" t="s">
        <v>124</v>
      </c>
      <c r="J49" s="85" t="s">
        <v>58</v>
      </c>
      <c r="K49" s="90" t="s">
        <v>110</v>
      </c>
      <c r="L49" s="86">
        <f t="shared" si="3"/>
        <v>1</v>
      </c>
      <c r="M49" s="86" t="str">
        <f t="shared" si="4"/>
        <v>🔥 Sangat Dekat</v>
      </c>
      <c r="N49" s="90">
        <v>40000.0</v>
      </c>
      <c r="O49" s="84" t="s">
        <v>59</v>
      </c>
      <c r="P49" s="88" t="s">
        <v>69</v>
      </c>
      <c r="Q49" s="97" t="s">
        <v>181</v>
      </c>
      <c r="R49" s="99"/>
      <c r="S49" s="99"/>
    </row>
    <row r="50">
      <c r="B50" s="103"/>
      <c r="C50" s="98"/>
      <c r="D50" s="98"/>
      <c r="E50" s="98"/>
      <c r="F50" s="98"/>
      <c r="G50" s="55"/>
      <c r="H50" s="55"/>
      <c r="I50" s="104"/>
      <c r="J50" s="104"/>
      <c r="K50" s="86"/>
      <c r="L50" s="86" t="str">
        <f t="shared" si="3"/>
        <v/>
      </c>
      <c r="M50" s="86" t="str">
        <f t="shared" si="4"/>
        <v/>
      </c>
      <c r="N50" s="86"/>
      <c r="O50" s="98"/>
      <c r="P50" s="105"/>
      <c r="Q50" s="99"/>
      <c r="R50" s="99"/>
      <c r="S50" s="99"/>
    </row>
    <row r="51">
      <c r="B51" s="103"/>
      <c r="C51" s="98"/>
      <c r="D51" s="98"/>
      <c r="E51" s="98"/>
      <c r="F51" s="98"/>
      <c r="G51" s="55"/>
      <c r="H51" s="55"/>
      <c r="I51" s="104"/>
      <c r="J51" s="104"/>
      <c r="K51" s="86"/>
      <c r="L51" s="86" t="str">
        <f t="shared" si="3"/>
        <v/>
      </c>
      <c r="M51" s="86" t="str">
        <f t="shared" si="4"/>
        <v/>
      </c>
      <c r="N51" s="86"/>
      <c r="O51" s="98"/>
      <c r="P51" s="105"/>
      <c r="Q51" s="99"/>
      <c r="R51" s="99"/>
      <c r="S51" s="99"/>
    </row>
    <row r="52">
      <c r="B52" s="103"/>
      <c r="C52" s="98"/>
      <c r="D52" s="98"/>
      <c r="E52" s="98"/>
      <c r="F52" s="98"/>
      <c r="G52" s="55"/>
      <c r="H52" s="55"/>
      <c r="I52" s="104"/>
      <c r="J52" s="104"/>
      <c r="K52" s="86"/>
      <c r="L52" s="86" t="str">
        <f t="shared" si="3"/>
        <v/>
      </c>
      <c r="M52" s="86" t="str">
        <f t="shared" si="4"/>
        <v/>
      </c>
      <c r="N52" s="86"/>
      <c r="O52" s="98"/>
      <c r="P52" s="105"/>
      <c r="Q52" s="99"/>
      <c r="R52" s="99"/>
      <c r="S52" s="99"/>
    </row>
    <row r="53">
      <c r="B53" s="103"/>
      <c r="C53" s="98"/>
      <c r="D53" s="98"/>
      <c r="E53" s="98"/>
      <c r="F53" s="98"/>
      <c r="G53" s="55"/>
      <c r="H53" s="55"/>
      <c r="I53" s="104"/>
      <c r="J53" s="104"/>
      <c r="K53" s="86"/>
      <c r="L53" s="86" t="str">
        <f t="shared" si="3"/>
        <v/>
      </c>
      <c r="M53" s="86" t="str">
        <f t="shared" si="4"/>
        <v/>
      </c>
      <c r="N53" s="86"/>
      <c r="O53" s="98"/>
      <c r="P53" s="105"/>
      <c r="Q53" s="99"/>
      <c r="R53" s="99"/>
      <c r="S53" s="99"/>
    </row>
    <row r="54">
      <c r="B54" s="103"/>
      <c r="C54" s="98"/>
      <c r="D54" s="98"/>
      <c r="E54" s="98"/>
      <c r="F54" s="98"/>
      <c r="G54" s="55"/>
      <c r="H54" s="55"/>
      <c r="I54" s="104"/>
      <c r="J54" s="104"/>
      <c r="K54" s="86"/>
      <c r="L54" s="86" t="str">
        <f t="shared" si="3"/>
        <v/>
      </c>
      <c r="M54" s="86" t="str">
        <f t="shared" si="4"/>
        <v/>
      </c>
      <c r="N54" s="86"/>
      <c r="O54" s="98"/>
      <c r="P54" s="105"/>
      <c r="Q54" s="99"/>
      <c r="R54" s="99"/>
      <c r="S54" s="99"/>
    </row>
    <row r="55">
      <c r="B55" s="103"/>
      <c r="C55" s="98"/>
      <c r="D55" s="98"/>
      <c r="E55" s="98"/>
      <c r="F55" s="98"/>
      <c r="G55" s="55"/>
      <c r="H55" s="55"/>
      <c r="I55" s="104"/>
      <c r="J55" s="104"/>
      <c r="K55" s="86"/>
      <c r="L55" s="86" t="str">
        <f t="shared" si="3"/>
        <v/>
      </c>
      <c r="M55" s="86" t="str">
        <f t="shared" si="4"/>
        <v/>
      </c>
      <c r="N55" s="86"/>
      <c r="O55" s="98"/>
      <c r="P55" s="105"/>
      <c r="Q55" s="99"/>
      <c r="R55" s="99"/>
      <c r="S55" s="99"/>
    </row>
    <row r="56">
      <c r="B56" s="103"/>
      <c r="C56" s="98"/>
      <c r="D56" s="98"/>
      <c r="E56" s="98"/>
      <c r="F56" s="98"/>
      <c r="G56" s="55"/>
      <c r="H56" s="55"/>
      <c r="I56" s="104"/>
      <c r="J56" s="104"/>
      <c r="K56" s="86"/>
      <c r="L56" s="86" t="str">
        <f t="shared" si="3"/>
        <v/>
      </c>
      <c r="M56" s="86" t="str">
        <f t="shared" si="4"/>
        <v/>
      </c>
      <c r="N56" s="86"/>
      <c r="O56" s="98"/>
      <c r="P56" s="105"/>
      <c r="Q56" s="99"/>
      <c r="R56" s="99"/>
      <c r="S56" s="99"/>
    </row>
    <row r="57">
      <c r="B57" s="103"/>
      <c r="C57" s="98"/>
      <c r="D57" s="98"/>
      <c r="E57" s="98"/>
      <c r="F57" s="98"/>
      <c r="G57" s="55"/>
      <c r="H57" s="55"/>
      <c r="I57" s="104"/>
      <c r="J57" s="104"/>
      <c r="K57" s="86"/>
      <c r="L57" s="86" t="str">
        <f t="shared" si="3"/>
        <v/>
      </c>
      <c r="M57" s="86" t="str">
        <f t="shared" si="4"/>
        <v/>
      </c>
      <c r="N57" s="86"/>
      <c r="O57" s="98"/>
      <c r="P57" s="105"/>
      <c r="Q57" s="99"/>
      <c r="R57" s="99"/>
      <c r="S57" s="99"/>
    </row>
    <row r="58">
      <c r="B58" s="103"/>
      <c r="C58" s="98"/>
      <c r="D58" s="98"/>
      <c r="E58" s="98"/>
      <c r="F58" s="98"/>
      <c r="G58" s="55"/>
      <c r="H58" s="55"/>
      <c r="I58" s="104"/>
      <c r="J58" s="104"/>
      <c r="K58" s="86"/>
      <c r="L58" s="86" t="str">
        <f t="shared" si="3"/>
        <v/>
      </c>
      <c r="M58" s="86" t="str">
        <f t="shared" si="4"/>
        <v/>
      </c>
      <c r="N58" s="86"/>
      <c r="O58" s="98"/>
      <c r="P58" s="105"/>
      <c r="Q58" s="99"/>
      <c r="R58" s="99"/>
      <c r="S58" s="99"/>
    </row>
    <row r="59">
      <c r="B59" s="103"/>
      <c r="C59" s="98"/>
      <c r="D59" s="98"/>
      <c r="E59" s="98"/>
      <c r="F59" s="98"/>
      <c r="G59" s="55"/>
      <c r="H59" s="55"/>
      <c r="I59" s="104"/>
      <c r="J59" s="104"/>
      <c r="K59" s="86"/>
      <c r="L59" s="86" t="str">
        <f t="shared" si="3"/>
        <v/>
      </c>
      <c r="M59" s="86" t="str">
        <f t="shared" si="4"/>
        <v/>
      </c>
      <c r="N59" s="86"/>
      <c r="O59" s="98"/>
      <c r="P59" s="105"/>
      <c r="Q59" s="99"/>
      <c r="R59" s="99"/>
      <c r="S59" s="99"/>
    </row>
    <row r="60">
      <c r="B60" s="103"/>
      <c r="C60" s="98"/>
      <c r="D60" s="98"/>
      <c r="E60" s="98"/>
      <c r="F60" s="98"/>
      <c r="G60" s="55"/>
      <c r="H60" s="55"/>
      <c r="I60" s="104"/>
      <c r="J60" s="104"/>
      <c r="K60" s="86"/>
      <c r="L60" s="86" t="str">
        <f t="shared" si="3"/>
        <v/>
      </c>
      <c r="M60" s="86" t="str">
        <f t="shared" si="4"/>
        <v/>
      </c>
      <c r="N60" s="86"/>
      <c r="O60" s="98"/>
      <c r="P60" s="105"/>
      <c r="Q60" s="99"/>
      <c r="R60" s="99"/>
      <c r="S60" s="99"/>
    </row>
    <row r="61">
      <c r="B61" s="103"/>
      <c r="C61" s="98"/>
      <c r="D61" s="98"/>
      <c r="E61" s="98"/>
      <c r="F61" s="98"/>
      <c r="G61" s="55"/>
      <c r="H61" s="55"/>
      <c r="I61" s="104"/>
      <c r="J61" s="104"/>
      <c r="K61" s="86"/>
      <c r="L61" s="86" t="str">
        <f t="shared" si="3"/>
        <v/>
      </c>
      <c r="M61" s="86" t="str">
        <f t="shared" si="4"/>
        <v/>
      </c>
      <c r="N61" s="86"/>
      <c r="O61" s="98"/>
      <c r="P61" s="105"/>
      <c r="Q61" s="99"/>
      <c r="R61" s="99"/>
      <c r="S61" s="99"/>
    </row>
    <row r="62">
      <c r="B62" s="103"/>
      <c r="C62" s="98"/>
      <c r="D62" s="98"/>
      <c r="E62" s="98"/>
      <c r="F62" s="98"/>
      <c r="G62" s="55"/>
      <c r="H62" s="55"/>
      <c r="I62" s="104"/>
      <c r="J62" s="104"/>
      <c r="K62" s="86"/>
      <c r="L62" s="86" t="str">
        <f t="shared" si="3"/>
        <v/>
      </c>
      <c r="M62" s="86" t="str">
        <f t="shared" si="4"/>
        <v/>
      </c>
      <c r="N62" s="86"/>
      <c r="O62" s="98"/>
      <c r="P62" s="105"/>
      <c r="Q62" s="99"/>
      <c r="R62" s="99"/>
      <c r="S62" s="99"/>
    </row>
    <row r="63">
      <c r="B63" s="103"/>
      <c r="C63" s="98"/>
      <c r="D63" s="98"/>
      <c r="E63" s="98"/>
      <c r="F63" s="98"/>
      <c r="G63" s="98"/>
      <c r="H63" s="98"/>
      <c r="I63" s="104"/>
      <c r="J63" s="104"/>
      <c r="K63" s="86"/>
      <c r="L63" s="86" t="str">
        <f t="shared" si="3"/>
        <v/>
      </c>
      <c r="M63" s="86" t="str">
        <f t="shared" si="4"/>
        <v/>
      </c>
      <c r="N63" s="86"/>
      <c r="O63" s="98"/>
      <c r="P63" s="105"/>
      <c r="Q63" s="99"/>
      <c r="R63" s="99"/>
      <c r="S63" s="99"/>
    </row>
    <row r="64">
      <c r="B64" s="103"/>
      <c r="C64" s="98"/>
      <c r="D64" s="98"/>
      <c r="E64" s="98"/>
      <c r="F64" s="98"/>
      <c r="G64" s="98"/>
      <c r="H64" s="98"/>
      <c r="I64" s="104"/>
      <c r="J64" s="104"/>
      <c r="K64" s="86"/>
      <c r="L64" s="86" t="str">
        <f t="shared" si="3"/>
        <v/>
      </c>
      <c r="M64" s="86" t="str">
        <f t="shared" si="4"/>
        <v/>
      </c>
      <c r="N64" s="86"/>
      <c r="O64" s="98"/>
      <c r="P64" s="105"/>
      <c r="Q64" s="99"/>
      <c r="R64" s="99"/>
      <c r="S64" s="99"/>
    </row>
    <row r="65">
      <c r="B65" s="103"/>
      <c r="C65" s="98"/>
      <c r="D65" s="98"/>
      <c r="E65" s="98"/>
      <c r="F65" s="98"/>
      <c r="G65" s="98"/>
      <c r="H65" s="98"/>
      <c r="I65" s="104"/>
      <c r="J65" s="104"/>
      <c r="K65" s="86"/>
      <c r="L65" s="86" t="str">
        <f t="shared" si="3"/>
        <v/>
      </c>
      <c r="M65" s="86" t="str">
        <f t="shared" si="4"/>
        <v/>
      </c>
      <c r="N65" s="86"/>
      <c r="O65" s="98"/>
      <c r="P65" s="105"/>
      <c r="Q65" s="99"/>
      <c r="R65" s="99"/>
      <c r="S65" s="99"/>
    </row>
    <row r="66">
      <c r="B66" s="103"/>
      <c r="C66" s="98"/>
      <c r="D66" s="98"/>
      <c r="E66" s="98"/>
      <c r="F66" s="98"/>
      <c r="G66" s="98"/>
      <c r="H66" s="98"/>
      <c r="I66" s="104"/>
      <c r="J66" s="104"/>
      <c r="K66" s="86"/>
      <c r="L66" s="86" t="str">
        <f t="shared" si="3"/>
        <v/>
      </c>
      <c r="M66" s="86" t="str">
        <f t="shared" si="4"/>
        <v/>
      </c>
      <c r="N66" s="86"/>
      <c r="O66" s="98"/>
      <c r="P66" s="105"/>
      <c r="Q66" s="99"/>
      <c r="R66" s="99"/>
      <c r="S66" s="99"/>
    </row>
    <row r="67">
      <c r="B67" s="103"/>
      <c r="C67" s="98"/>
      <c r="D67" s="98"/>
      <c r="E67" s="98"/>
      <c r="F67" s="98"/>
      <c r="G67" s="98"/>
      <c r="H67" s="98"/>
      <c r="I67" s="104"/>
      <c r="J67" s="104"/>
      <c r="K67" s="86"/>
      <c r="L67" s="86" t="str">
        <f t="shared" si="3"/>
        <v/>
      </c>
      <c r="M67" s="86" t="str">
        <f t="shared" si="4"/>
        <v/>
      </c>
      <c r="N67" s="86"/>
      <c r="O67" s="98"/>
      <c r="P67" s="105"/>
      <c r="Q67" s="99"/>
      <c r="R67" s="99"/>
      <c r="S67" s="99"/>
    </row>
    <row r="68">
      <c r="B68" s="103"/>
      <c r="C68" s="98"/>
      <c r="D68" s="98"/>
      <c r="E68" s="98"/>
      <c r="F68" s="98"/>
      <c r="G68" s="98"/>
      <c r="H68" s="98"/>
      <c r="I68" s="104"/>
      <c r="J68" s="104"/>
      <c r="K68" s="86"/>
      <c r="L68" s="86" t="str">
        <f t="shared" si="3"/>
        <v/>
      </c>
      <c r="M68" s="86" t="str">
        <f t="shared" si="4"/>
        <v/>
      </c>
      <c r="N68" s="86"/>
      <c r="O68" s="98"/>
      <c r="P68" s="105"/>
      <c r="Q68" s="99"/>
      <c r="R68" s="99"/>
      <c r="S68" s="99"/>
    </row>
    <row r="69">
      <c r="B69" s="103"/>
      <c r="C69" s="98"/>
      <c r="D69" s="98"/>
      <c r="E69" s="98"/>
      <c r="F69" s="98"/>
      <c r="G69" s="98"/>
      <c r="H69" s="98"/>
      <c r="I69" s="104"/>
      <c r="J69" s="104"/>
      <c r="K69" s="86"/>
      <c r="L69" s="86" t="str">
        <f t="shared" si="3"/>
        <v/>
      </c>
      <c r="M69" s="86" t="str">
        <f t="shared" si="4"/>
        <v/>
      </c>
      <c r="N69" s="86"/>
      <c r="O69" s="98"/>
      <c r="P69" s="105"/>
      <c r="Q69" s="99"/>
      <c r="R69" s="99"/>
      <c r="S69" s="99"/>
    </row>
    <row r="70">
      <c r="B70" s="103"/>
      <c r="C70" s="98"/>
      <c r="D70" s="98"/>
      <c r="E70" s="98"/>
      <c r="F70" s="98"/>
      <c r="G70" s="98"/>
      <c r="H70" s="98"/>
      <c r="I70" s="104"/>
      <c r="J70" s="104"/>
      <c r="K70" s="86"/>
      <c r="L70" s="86" t="str">
        <f t="shared" si="3"/>
        <v/>
      </c>
      <c r="M70" s="86" t="str">
        <f t="shared" si="4"/>
        <v/>
      </c>
      <c r="N70" s="86"/>
      <c r="O70" s="98"/>
      <c r="P70" s="105"/>
      <c r="Q70" s="99"/>
      <c r="R70" s="99"/>
      <c r="S70" s="99"/>
    </row>
    <row r="71">
      <c r="B71" s="103"/>
      <c r="C71" s="98"/>
      <c r="D71" s="98"/>
      <c r="E71" s="98"/>
      <c r="F71" s="98"/>
      <c r="G71" s="98"/>
      <c r="H71" s="98"/>
      <c r="I71" s="104"/>
      <c r="J71" s="104"/>
      <c r="K71" s="86"/>
      <c r="L71" s="86" t="str">
        <f t="shared" si="3"/>
        <v/>
      </c>
      <c r="M71" s="86" t="str">
        <f t="shared" si="4"/>
        <v/>
      </c>
      <c r="N71" s="86"/>
      <c r="O71" s="98"/>
      <c r="P71" s="105"/>
      <c r="Q71" s="99"/>
      <c r="R71" s="99"/>
      <c r="S71" s="99"/>
    </row>
    <row r="72">
      <c r="B72" s="103"/>
      <c r="C72" s="98"/>
      <c r="D72" s="98"/>
      <c r="E72" s="98"/>
      <c r="F72" s="98"/>
      <c r="G72" s="98"/>
      <c r="H72" s="98"/>
      <c r="I72" s="104"/>
      <c r="J72" s="104"/>
      <c r="K72" s="86"/>
      <c r="L72" s="86" t="str">
        <f t="shared" si="3"/>
        <v/>
      </c>
      <c r="M72" s="86" t="str">
        <f t="shared" si="4"/>
        <v/>
      </c>
      <c r="N72" s="86"/>
      <c r="O72" s="98"/>
      <c r="P72" s="105"/>
      <c r="Q72" s="99"/>
      <c r="R72" s="99"/>
      <c r="S72" s="99"/>
    </row>
    <row r="73">
      <c r="B73" s="103"/>
      <c r="C73" s="98"/>
      <c r="D73" s="98"/>
      <c r="E73" s="98"/>
      <c r="F73" s="98"/>
      <c r="G73" s="98"/>
      <c r="H73" s="98"/>
      <c r="I73" s="104"/>
      <c r="J73" s="104"/>
      <c r="K73" s="86"/>
      <c r="L73" s="86" t="str">
        <f t="shared" si="3"/>
        <v/>
      </c>
      <c r="M73" s="86" t="str">
        <f t="shared" si="4"/>
        <v/>
      </c>
      <c r="N73" s="86"/>
      <c r="O73" s="98"/>
      <c r="P73" s="105"/>
      <c r="Q73" s="99"/>
      <c r="R73" s="99"/>
      <c r="S73" s="99"/>
    </row>
    <row r="74">
      <c r="B74" s="103"/>
      <c r="C74" s="98"/>
      <c r="D74" s="98"/>
      <c r="E74" s="98"/>
      <c r="F74" s="98"/>
      <c r="G74" s="98"/>
      <c r="H74" s="98"/>
      <c r="I74" s="104"/>
      <c r="J74" s="104"/>
      <c r="K74" s="86"/>
      <c r="L74" s="86" t="str">
        <f t="shared" si="3"/>
        <v/>
      </c>
      <c r="M74" s="86" t="str">
        <f t="shared" si="4"/>
        <v/>
      </c>
      <c r="N74" s="86"/>
      <c r="O74" s="98"/>
      <c r="P74" s="105"/>
      <c r="Q74" s="99"/>
      <c r="R74" s="99"/>
      <c r="S74" s="99"/>
    </row>
    <row r="75">
      <c r="B75" s="103"/>
      <c r="C75" s="98"/>
      <c r="D75" s="98"/>
      <c r="E75" s="98"/>
      <c r="F75" s="98"/>
      <c r="G75" s="98"/>
      <c r="H75" s="98"/>
      <c r="I75" s="104"/>
      <c r="J75" s="104"/>
      <c r="K75" s="86"/>
      <c r="L75" s="86" t="str">
        <f t="shared" si="3"/>
        <v/>
      </c>
      <c r="M75" s="86" t="str">
        <f t="shared" si="4"/>
        <v/>
      </c>
      <c r="N75" s="86"/>
      <c r="O75" s="98"/>
      <c r="P75" s="105"/>
      <c r="Q75" s="99"/>
      <c r="R75" s="99"/>
      <c r="S75" s="99"/>
    </row>
    <row r="76">
      <c r="B76" s="103"/>
      <c r="C76" s="98"/>
      <c r="D76" s="98"/>
      <c r="E76" s="98"/>
      <c r="F76" s="98"/>
      <c r="G76" s="98"/>
      <c r="H76" s="98"/>
      <c r="I76" s="104"/>
      <c r="J76" s="104"/>
      <c r="K76" s="86"/>
      <c r="L76" s="86" t="str">
        <f t="shared" si="3"/>
        <v/>
      </c>
      <c r="M76" s="86" t="str">
        <f t="shared" si="4"/>
        <v/>
      </c>
      <c r="N76" s="86"/>
      <c r="O76" s="98"/>
      <c r="P76" s="105"/>
      <c r="Q76" s="99"/>
      <c r="R76" s="99"/>
      <c r="S76" s="99"/>
    </row>
    <row r="77">
      <c r="B77" s="103"/>
      <c r="C77" s="98"/>
      <c r="D77" s="98"/>
      <c r="E77" s="98"/>
      <c r="F77" s="98"/>
      <c r="G77" s="98"/>
      <c r="H77" s="98"/>
      <c r="I77" s="104"/>
      <c r="J77" s="104"/>
      <c r="K77" s="86"/>
      <c r="L77" s="86" t="str">
        <f t="shared" si="3"/>
        <v/>
      </c>
      <c r="M77" s="86" t="str">
        <f t="shared" si="4"/>
        <v/>
      </c>
      <c r="N77" s="86"/>
      <c r="O77" s="98"/>
      <c r="P77" s="105"/>
      <c r="Q77" s="99"/>
      <c r="R77" s="99"/>
      <c r="S77" s="99"/>
    </row>
    <row r="78">
      <c r="B78" s="103"/>
      <c r="C78" s="98"/>
      <c r="D78" s="98"/>
      <c r="E78" s="98"/>
      <c r="F78" s="98"/>
      <c r="G78" s="98"/>
      <c r="H78" s="98"/>
      <c r="I78" s="104"/>
      <c r="J78" s="104"/>
      <c r="K78" s="86"/>
      <c r="L78" s="86" t="str">
        <f t="shared" si="3"/>
        <v/>
      </c>
      <c r="M78" s="86" t="str">
        <f t="shared" si="4"/>
        <v/>
      </c>
      <c r="N78" s="86"/>
      <c r="O78" s="98"/>
      <c r="P78" s="105"/>
      <c r="Q78" s="99"/>
      <c r="R78" s="99"/>
      <c r="S78" s="99"/>
    </row>
    <row r="79">
      <c r="B79" s="103"/>
      <c r="C79" s="98"/>
      <c r="D79" s="98"/>
      <c r="E79" s="98"/>
      <c r="F79" s="98"/>
      <c r="G79" s="98"/>
      <c r="H79" s="98"/>
      <c r="I79" s="104"/>
      <c r="J79" s="104"/>
      <c r="K79" s="86"/>
      <c r="L79" s="86" t="str">
        <f t="shared" si="3"/>
        <v/>
      </c>
      <c r="M79" s="86" t="str">
        <f t="shared" si="4"/>
        <v/>
      </c>
      <c r="N79" s="86"/>
      <c r="O79" s="98"/>
      <c r="P79" s="105"/>
      <c r="Q79" s="99"/>
      <c r="R79" s="99"/>
      <c r="S79" s="99"/>
    </row>
    <row r="80">
      <c r="B80" s="103"/>
      <c r="C80" s="98"/>
      <c r="D80" s="98"/>
      <c r="E80" s="98"/>
      <c r="F80" s="98"/>
      <c r="G80" s="98"/>
      <c r="H80" s="98"/>
      <c r="I80" s="104"/>
      <c r="J80" s="104"/>
      <c r="K80" s="86"/>
      <c r="L80" s="86" t="str">
        <f t="shared" si="3"/>
        <v/>
      </c>
      <c r="M80" s="86" t="str">
        <f t="shared" si="4"/>
        <v/>
      </c>
      <c r="N80" s="86"/>
      <c r="O80" s="98"/>
      <c r="P80" s="105"/>
      <c r="Q80" s="99"/>
      <c r="R80" s="99"/>
      <c r="S80" s="99"/>
    </row>
    <row r="81">
      <c r="B81" s="103"/>
      <c r="C81" s="98"/>
      <c r="D81" s="98"/>
      <c r="E81" s="98"/>
      <c r="F81" s="98"/>
      <c r="G81" s="98"/>
      <c r="H81" s="98"/>
      <c r="I81" s="104"/>
      <c r="J81" s="104"/>
      <c r="K81" s="86"/>
      <c r="L81" s="86" t="str">
        <f t="shared" si="3"/>
        <v/>
      </c>
      <c r="M81" s="86" t="str">
        <f t="shared" si="4"/>
        <v/>
      </c>
      <c r="N81" s="86"/>
      <c r="O81" s="98"/>
      <c r="P81" s="105"/>
      <c r="Q81" s="99"/>
      <c r="R81" s="99"/>
      <c r="S81" s="99"/>
    </row>
    <row r="82">
      <c r="B82" s="103"/>
      <c r="C82" s="98"/>
      <c r="D82" s="98"/>
      <c r="E82" s="98"/>
      <c r="F82" s="98"/>
      <c r="G82" s="98"/>
      <c r="H82" s="98"/>
      <c r="I82" s="104"/>
      <c r="J82" s="104"/>
      <c r="K82" s="86"/>
      <c r="L82" s="86" t="str">
        <f t="shared" si="3"/>
        <v/>
      </c>
      <c r="M82" s="86" t="str">
        <f t="shared" si="4"/>
        <v/>
      </c>
      <c r="N82" s="86"/>
      <c r="O82" s="98"/>
      <c r="P82" s="105"/>
      <c r="Q82" s="99"/>
      <c r="R82" s="99"/>
      <c r="S82" s="99"/>
    </row>
    <row r="83">
      <c r="B83" s="103"/>
      <c r="C83" s="98"/>
      <c r="D83" s="98"/>
      <c r="E83" s="98"/>
      <c r="F83" s="98"/>
      <c r="G83" s="98"/>
      <c r="H83" s="98"/>
      <c r="I83" s="104"/>
      <c r="J83" s="104"/>
      <c r="K83" s="86"/>
      <c r="L83" s="86" t="str">
        <f t="shared" si="3"/>
        <v/>
      </c>
      <c r="M83" s="86" t="str">
        <f t="shared" si="4"/>
        <v/>
      </c>
      <c r="N83" s="86"/>
      <c r="O83" s="98"/>
      <c r="P83" s="105"/>
      <c r="Q83" s="99"/>
      <c r="R83" s="99"/>
      <c r="S83" s="99"/>
    </row>
    <row r="84">
      <c r="B84" s="103"/>
      <c r="C84" s="98"/>
      <c r="D84" s="98"/>
      <c r="E84" s="98"/>
      <c r="F84" s="98"/>
      <c r="G84" s="98"/>
      <c r="H84" s="98"/>
      <c r="I84" s="104"/>
      <c r="J84" s="104"/>
      <c r="K84" s="86"/>
      <c r="L84" s="86" t="str">
        <f t="shared" si="3"/>
        <v/>
      </c>
      <c r="M84" s="86" t="str">
        <f t="shared" si="4"/>
        <v/>
      </c>
      <c r="N84" s="86"/>
      <c r="O84" s="98"/>
      <c r="P84" s="105"/>
      <c r="Q84" s="99"/>
      <c r="R84" s="99"/>
      <c r="S84" s="99"/>
    </row>
    <row r="85">
      <c r="B85" s="103"/>
      <c r="C85" s="98"/>
      <c r="D85" s="98"/>
      <c r="E85" s="98"/>
      <c r="F85" s="98"/>
      <c r="G85" s="98"/>
      <c r="H85" s="98"/>
      <c r="I85" s="104"/>
      <c r="J85" s="104"/>
      <c r="K85" s="86"/>
      <c r="L85" s="86" t="str">
        <f t="shared" si="3"/>
        <v/>
      </c>
      <c r="M85" s="86" t="str">
        <f t="shared" si="4"/>
        <v/>
      </c>
      <c r="N85" s="86"/>
      <c r="O85" s="98"/>
      <c r="P85" s="105"/>
      <c r="Q85" s="99"/>
      <c r="R85" s="99"/>
      <c r="S85" s="99"/>
    </row>
    <row r="86">
      <c r="B86" s="103"/>
      <c r="C86" s="98"/>
      <c r="D86" s="98"/>
      <c r="E86" s="98"/>
      <c r="F86" s="98"/>
      <c r="G86" s="98"/>
      <c r="H86" s="98"/>
      <c r="I86" s="104"/>
      <c r="J86" s="104"/>
      <c r="K86" s="86"/>
      <c r="L86" s="86" t="str">
        <f t="shared" si="3"/>
        <v/>
      </c>
      <c r="M86" s="86" t="str">
        <f t="shared" si="4"/>
        <v/>
      </c>
      <c r="N86" s="86"/>
      <c r="O86" s="98"/>
      <c r="P86" s="105"/>
      <c r="Q86" s="99"/>
      <c r="R86" s="99"/>
      <c r="S86" s="99"/>
    </row>
    <row r="87">
      <c r="B87" s="103"/>
      <c r="C87" s="98"/>
      <c r="D87" s="98"/>
      <c r="E87" s="98"/>
      <c r="F87" s="98"/>
      <c r="G87" s="98"/>
      <c r="H87" s="98"/>
      <c r="I87" s="104"/>
      <c r="J87" s="104"/>
      <c r="K87" s="86"/>
      <c r="L87" s="86" t="str">
        <f t="shared" si="3"/>
        <v/>
      </c>
      <c r="M87" s="86" t="str">
        <f t="shared" si="4"/>
        <v/>
      </c>
      <c r="N87" s="86"/>
      <c r="O87" s="98"/>
      <c r="P87" s="105"/>
      <c r="Q87" s="99"/>
      <c r="R87" s="99"/>
      <c r="S87" s="99"/>
    </row>
    <row r="88">
      <c r="B88" s="103"/>
      <c r="C88" s="98"/>
      <c r="D88" s="98"/>
      <c r="E88" s="98"/>
      <c r="F88" s="98"/>
      <c r="G88" s="98"/>
      <c r="H88" s="98"/>
      <c r="I88" s="104"/>
      <c r="J88" s="104"/>
      <c r="K88" s="86"/>
      <c r="L88" s="86" t="str">
        <f t="shared" si="3"/>
        <v/>
      </c>
      <c r="M88" s="86" t="str">
        <f t="shared" si="4"/>
        <v/>
      </c>
      <c r="N88" s="86"/>
      <c r="O88" s="98"/>
      <c r="P88" s="105"/>
      <c r="Q88" s="99"/>
      <c r="R88" s="99"/>
      <c r="S88" s="99"/>
    </row>
    <row r="89">
      <c r="B89" s="103"/>
      <c r="C89" s="98"/>
      <c r="D89" s="98"/>
      <c r="E89" s="98"/>
      <c r="F89" s="98"/>
      <c r="G89" s="98"/>
      <c r="H89" s="98"/>
      <c r="I89" s="104"/>
      <c r="J89" s="104"/>
      <c r="K89" s="86"/>
      <c r="L89" s="86" t="str">
        <f t="shared" si="3"/>
        <v/>
      </c>
      <c r="M89" s="86" t="str">
        <f t="shared" si="4"/>
        <v/>
      </c>
      <c r="N89" s="86"/>
      <c r="O89" s="98"/>
      <c r="P89" s="105"/>
      <c r="Q89" s="99"/>
      <c r="R89" s="99"/>
      <c r="S89" s="99"/>
    </row>
    <row r="90">
      <c r="B90" s="103"/>
      <c r="C90" s="98"/>
      <c r="D90" s="98"/>
      <c r="E90" s="98"/>
      <c r="F90" s="98"/>
      <c r="G90" s="98"/>
      <c r="H90" s="98"/>
      <c r="I90" s="104"/>
      <c r="J90" s="104"/>
      <c r="K90" s="86"/>
      <c r="L90" s="86" t="str">
        <f t="shared" si="3"/>
        <v/>
      </c>
      <c r="M90" s="86" t="str">
        <f t="shared" si="4"/>
        <v/>
      </c>
      <c r="N90" s="86"/>
      <c r="O90" s="98"/>
      <c r="P90" s="105"/>
      <c r="Q90" s="99"/>
      <c r="R90" s="99"/>
      <c r="S90" s="99"/>
    </row>
    <row r="91">
      <c r="B91" s="103"/>
      <c r="C91" s="98"/>
      <c r="D91" s="98"/>
      <c r="E91" s="98"/>
      <c r="F91" s="98"/>
      <c r="G91" s="98"/>
      <c r="H91" s="98"/>
      <c r="I91" s="104"/>
      <c r="J91" s="104"/>
      <c r="K91" s="86"/>
      <c r="L91" s="86" t="str">
        <f t="shared" si="3"/>
        <v/>
      </c>
      <c r="M91" s="86" t="str">
        <f t="shared" si="4"/>
        <v/>
      </c>
      <c r="N91" s="86"/>
      <c r="O91" s="98"/>
      <c r="P91" s="105"/>
      <c r="Q91" s="99"/>
      <c r="R91" s="99"/>
      <c r="S91" s="99"/>
    </row>
    <row r="92">
      <c r="B92" s="103"/>
      <c r="C92" s="98"/>
      <c r="D92" s="98"/>
      <c r="E92" s="98"/>
      <c r="F92" s="98"/>
      <c r="G92" s="98"/>
      <c r="H92" s="98"/>
      <c r="I92" s="104"/>
      <c r="J92" s="104"/>
      <c r="K92" s="86"/>
      <c r="L92" s="86" t="str">
        <f t="shared" si="3"/>
        <v/>
      </c>
      <c r="M92" s="86" t="str">
        <f t="shared" si="4"/>
        <v/>
      </c>
      <c r="N92" s="86"/>
      <c r="O92" s="98"/>
      <c r="P92" s="105"/>
      <c r="Q92" s="99"/>
      <c r="R92" s="99"/>
      <c r="S92" s="99"/>
    </row>
    <row r="93">
      <c r="B93" s="103"/>
      <c r="C93" s="98"/>
      <c r="D93" s="98"/>
      <c r="E93" s="98"/>
      <c r="F93" s="98"/>
      <c r="G93" s="98"/>
      <c r="H93" s="98"/>
      <c r="I93" s="104"/>
      <c r="J93" s="104"/>
      <c r="K93" s="86"/>
      <c r="L93" s="86" t="str">
        <f t="shared" si="3"/>
        <v/>
      </c>
      <c r="M93" s="86" t="str">
        <f t="shared" si="4"/>
        <v/>
      </c>
      <c r="N93" s="86"/>
      <c r="O93" s="98"/>
      <c r="P93" s="105"/>
      <c r="Q93" s="99"/>
      <c r="R93" s="99"/>
      <c r="S93" s="99"/>
    </row>
    <row r="94">
      <c r="B94" s="103"/>
      <c r="C94" s="98"/>
      <c r="D94" s="98"/>
      <c r="E94" s="98"/>
      <c r="F94" s="98"/>
      <c r="G94" s="98"/>
      <c r="H94" s="98"/>
      <c r="I94" s="104"/>
      <c r="J94" s="104"/>
      <c r="K94" s="86"/>
      <c r="L94" s="86" t="str">
        <f t="shared" si="3"/>
        <v/>
      </c>
      <c r="M94" s="86" t="str">
        <f t="shared" si="4"/>
        <v/>
      </c>
      <c r="N94" s="86"/>
      <c r="O94" s="98"/>
      <c r="P94" s="105"/>
      <c r="Q94" s="99"/>
      <c r="R94" s="99"/>
      <c r="S94" s="99"/>
    </row>
    <row r="95">
      <c r="B95" s="103"/>
      <c r="C95" s="98"/>
      <c r="D95" s="98"/>
      <c r="E95" s="98"/>
      <c r="F95" s="98"/>
      <c r="G95" s="98"/>
      <c r="H95" s="98"/>
      <c r="I95" s="104"/>
      <c r="J95" s="104"/>
      <c r="K95" s="86"/>
      <c r="L95" s="86" t="str">
        <f t="shared" si="3"/>
        <v/>
      </c>
      <c r="M95" s="86" t="str">
        <f t="shared" si="4"/>
        <v/>
      </c>
      <c r="N95" s="86"/>
      <c r="O95" s="98"/>
      <c r="P95" s="105"/>
      <c r="Q95" s="99"/>
      <c r="R95" s="99"/>
      <c r="S95" s="99"/>
    </row>
    <row r="96">
      <c r="B96" s="103"/>
      <c r="C96" s="98"/>
      <c r="D96" s="98"/>
      <c r="E96" s="98"/>
      <c r="F96" s="98"/>
      <c r="G96" s="98"/>
      <c r="H96" s="98"/>
      <c r="I96" s="104"/>
      <c r="J96" s="104"/>
      <c r="K96" s="86"/>
      <c r="L96" s="86" t="str">
        <f t="shared" si="3"/>
        <v/>
      </c>
      <c r="M96" s="86" t="str">
        <f t="shared" si="4"/>
        <v/>
      </c>
      <c r="N96" s="86"/>
      <c r="O96" s="98"/>
      <c r="P96" s="105"/>
      <c r="Q96" s="99"/>
      <c r="R96" s="99"/>
      <c r="S96" s="99"/>
    </row>
    <row r="97">
      <c r="B97" s="103"/>
      <c r="C97" s="98"/>
      <c r="D97" s="98"/>
      <c r="E97" s="98"/>
      <c r="F97" s="98"/>
      <c r="G97" s="98"/>
      <c r="H97" s="98"/>
      <c r="I97" s="104"/>
      <c r="J97" s="104"/>
      <c r="K97" s="86"/>
      <c r="L97" s="86" t="str">
        <f t="shared" si="3"/>
        <v/>
      </c>
      <c r="M97" s="86" t="str">
        <f t="shared" si="4"/>
        <v/>
      </c>
      <c r="N97" s="86"/>
      <c r="O97" s="98"/>
      <c r="P97" s="105"/>
      <c r="Q97" s="99"/>
      <c r="R97" s="99"/>
      <c r="S97" s="99"/>
    </row>
    <row r="98">
      <c r="B98" s="103"/>
      <c r="C98" s="98"/>
      <c r="D98" s="98"/>
      <c r="E98" s="98"/>
      <c r="F98" s="98"/>
      <c r="G98" s="98"/>
      <c r="H98" s="98"/>
      <c r="I98" s="104"/>
      <c r="J98" s="104"/>
      <c r="K98" s="86"/>
      <c r="L98" s="86" t="str">
        <f t="shared" si="3"/>
        <v/>
      </c>
      <c r="M98" s="86" t="str">
        <f t="shared" si="4"/>
        <v/>
      </c>
      <c r="N98" s="86"/>
      <c r="O98" s="98"/>
      <c r="P98" s="105"/>
      <c r="Q98" s="99"/>
      <c r="R98" s="99"/>
      <c r="S98" s="99"/>
    </row>
    <row r="99">
      <c r="B99" s="103"/>
      <c r="C99" s="98"/>
      <c r="D99" s="98"/>
      <c r="E99" s="98"/>
      <c r="F99" s="98"/>
      <c r="G99" s="98"/>
      <c r="H99" s="98"/>
      <c r="I99" s="104"/>
      <c r="J99" s="104"/>
      <c r="K99" s="86"/>
      <c r="L99" s="86" t="str">
        <f t="shared" si="3"/>
        <v/>
      </c>
      <c r="M99" s="86" t="str">
        <f t="shared" si="4"/>
        <v/>
      </c>
      <c r="N99" s="86"/>
      <c r="O99" s="98"/>
      <c r="P99" s="105"/>
      <c r="Q99" s="99"/>
      <c r="R99" s="99"/>
      <c r="S99" s="99"/>
    </row>
    <row r="100">
      <c r="B100" s="106"/>
      <c r="C100" s="107"/>
      <c r="D100" s="107"/>
      <c r="E100" s="107"/>
      <c r="F100" s="107"/>
      <c r="G100" s="107"/>
      <c r="H100" s="107"/>
      <c r="I100" s="108"/>
      <c r="J100" s="108"/>
      <c r="K100" s="109"/>
      <c r="L100" s="109" t="str">
        <f t="shared" si="3"/>
        <v/>
      </c>
      <c r="M100" s="109" t="str">
        <f t="shared" si="4"/>
        <v/>
      </c>
      <c r="N100" s="109"/>
      <c r="O100" s="107"/>
      <c r="P100" s="110"/>
      <c r="Q100" s="99"/>
      <c r="R100" s="99"/>
      <c r="S100" s="99"/>
    </row>
  </sheetData>
  <mergeCells count="21">
    <mergeCell ref="B5:C5"/>
    <mergeCell ref="D5:E5"/>
    <mergeCell ref="F5:G5"/>
    <mergeCell ref="H5:I5"/>
    <mergeCell ref="J5:K5"/>
    <mergeCell ref="L5:M5"/>
    <mergeCell ref="N5:O5"/>
    <mergeCell ref="B7:C7"/>
    <mergeCell ref="D7:E7"/>
    <mergeCell ref="F7:G7"/>
    <mergeCell ref="H7:I7"/>
    <mergeCell ref="J7:K7"/>
    <mergeCell ref="L7:M7"/>
    <mergeCell ref="N7:O7"/>
    <mergeCell ref="B6:C6"/>
    <mergeCell ref="D6:E6"/>
    <mergeCell ref="F6:G6"/>
    <mergeCell ref="H6:I6"/>
    <mergeCell ref="J6:K6"/>
    <mergeCell ref="L6:M6"/>
    <mergeCell ref="N6:O6"/>
  </mergeCells>
  <dataValidations>
    <dataValidation type="list" allowBlank="1" sqref="E10:E100">
      <formula1>"YouTube (16:9),TikTok / Reels (9:16),IG Feed (1:1 / 4:5),Iklan / Commercial,Kursus / Webinar,Videotron"</formula1>
    </dataValidation>
    <dataValidation type="list" allowBlank="1" sqref="P10:P100">
      <formula1>"Sudah Diterima,DP / Termin,Belum Diterima"</formula1>
    </dataValidation>
    <dataValidation type="list" allowBlank="1" sqref="F10:F100">
      <formula1>"1. Ingest &amp; Assembly,2. Rough Cut,3. Fine Cut &amp; Pacing,4. Color &amp; Audio,5. VFX &amp; Motion,6. Final Export"</formula1>
    </dataValidation>
    <dataValidation type="list" allowBlank="1" sqref="I10:I100">
      <formula1>"Belum Mulai,Dalam Proses,Revisi,Selesai"</formula1>
    </dataValidation>
    <dataValidation type="list" allowBlank="1" sqref="O10:O100">
      <formula1>"Vlog / Sinematik,Review / Unboxing,Shorts / Reels / TikTok,Iklan / Komersial,Tutorial / Edukasi,Podcast / Talkshow,Bumper,Wedding,Tugas Kuliah"</formula1>
    </dataValidation>
    <dataValidation type="list" allowBlank="1" sqref="D10:D100">
      <formula1>"Ponpes Syamsul Ma'arif,MUI Prov. Jabar,Mang Eky,Melek Ngedit,ABCERP,Rehnvim,Rumah Kepemimpinan,Naraya Creative,Jasaedit"</formula1>
    </dataValidation>
    <dataValidation type="list" allowBlank="1" sqref="J10:J100">
      <formula1>"Tinggi,Sedang,Rendah"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63"/>
    <col customWidth="1" min="3" max="3" width="15.13"/>
    <col customWidth="1" min="4" max="4" width="13.88"/>
    <col customWidth="1" min="5" max="5" width="16.38"/>
    <col customWidth="1" min="6" max="6" width="17.63"/>
  </cols>
  <sheetData>
    <row r="2">
      <c r="B2" s="1" t="s">
        <v>0</v>
      </c>
      <c r="C2" s="2"/>
      <c r="D2" s="2"/>
      <c r="E2" s="2"/>
      <c r="F2" s="2"/>
    </row>
    <row r="3">
      <c r="B3" s="3" t="s">
        <v>1</v>
      </c>
    </row>
    <row r="4">
      <c r="B4" s="4" t="s">
        <v>2</v>
      </c>
      <c r="C4" s="5" t="s">
        <v>3</v>
      </c>
      <c r="D4" s="5" t="s">
        <v>4</v>
      </c>
      <c r="E4" s="5" t="s">
        <v>5</v>
      </c>
      <c r="F4" s="6" t="s">
        <v>6</v>
      </c>
    </row>
    <row r="5">
      <c r="B5" s="7">
        <v>1.0</v>
      </c>
      <c r="C5" s="8">
        <v>46308.0</v>
      </c>
      <c r="D5" s="9" t="s">
        <v>7</v>
      </c>
      <c r="E5" s="9" t="s">
        <v>8</v>
      </c>
      <c r="F5" s="10">
        <v>50000.0</v>
      </c>
    </row>
    <row r="6">
      <c r="B6" s="7">
        <v>2.0</v>
      </c>
      <c r="C6" s="8">
        <v>46308.0</v>
      </c>
      <c r="D6" s="9" t="s">
        <v>9</v>
      </c>
      <c r="E6" s="9" t="s">
        <v>8</v>
      </c>
      <c r="F6" s="10">
        <v>40000.0</v>
      </c>
    </row>
    <row r="7">
      <c r="B7" s="7">
        <v>3.0</v>
      </c>
      <c r="C7" s="8">
        <v>46308.0</v>
      </c>
      <c r="D7" s="9" t="s">
        <v>10</v>
      </c>
      <c r="E7" s="9" t="s">
        <v>8</v>
      </c>
      <c r="F7" s="10">
        <v>70000.0</v>
      </c>
    </row>
    <row r="8">
      <c r="B8" s="7">
        <v>4.0</v>
      </c>
      <c r="C8" s="8">
        <v>46308.0</v>
      </c>
      <c r="D8" s="9" t="s">
        <v>11</v>
      </c>
      <c r="E8" s="9" t="s">
        <v>8</v>
      </c>
      <c r="F8" s="10">
        <v>50000.0</v>
      </c>
    </row>
    <row r="9">
      <c r="B9" s="7">
        <v>5.0</v>
      </c>
      <c r="C9" s="8">
        <v>46308.0</v>
      </c>
      <c r="D9" s="9" t="s">
        <v>12</v>
      </c>
      <c r="E9" s="9" t="s">
        <v>8</v>
      </c>
      <c r="F9" s="10">
        <v>30000.0</v>
      </c>
    </row>
    <row r="10">
      <c r="B10" s="7">
        <v>6.0</v>
      </c>
      <c r="C10" s="8">
        <v>46309.0</v>
      </c>
      <c r="D10" s="9" t="s">
        <v>13</v>
      </c>
      <c r="E10" s="9" t="s">
        <v>8</v>
      </c>
      <c r="F10" s="10">
        <v>50000.0</v>
      </c>
    </row>
    <row r="11">
      <c r="B11" s="7">
        <v>7.0</v>
      </c>
      <c r="C11" s="8">
        <v>46309.0</v>
      </c>
      <c r="D11" s="9" t="s">
        <v>14</v>
      </c>
      <c r="E11" s="9" t="s">
        <v>8</v>
      </c>
      <c r="F11" s="10">
        <v>50000.0</v>
      </c>
    </row>
    <row r="12">
      <c r="B12" s="7">
        <v>8.0</v>
      </c>
      <c r="C12" s="8">
        <v>46309.0</v>
      </c>
      <c r="D12" s="9" t="s">
        <v>15</v>
      </c>
      <c r="E12" s="9" t="s">
        <v>8</v>
      </c>
      <c r="F12" s="10">
        <v>60000.0</v>
      </c>
    </row>
    <row r="13">
      <c r="B13" s="7">
        <v>9.0</v>
      </c>
      <c r="C13" s="8">
        <v>46310.0</v>
      </c>
      <c r="D13" s="9" t="s">
        <v>16</v>
      </c>
      <c r="E13" s="9" t="s">
        <v>8</v>
      </c>
      <c r="F13" s="10">
        <v>50000.0</v>
      </c>
    </row>
    <row r="14">
      <c r="B14" s="7">
        <v>10.0</v>
      </c>
      <c r="C14" s="8">
        <v>46310.0</v>
      </c>
      <c r="D14" s="9" t="s">
        <v>17</v>
      </c>
      <c r="E14" s="9" t="s">
        <v>8</v>
      </c>
      <c r="F14" s="10">
        <v>40000.0</v>
      </c>
    </row>
    <row r="15">
      <c r="B15" s="7">
        <v>11.0</v>
      </c>
      <c r="C15" s="8">
        <v>46312.0</v>
      </c>
      <c r="D15" s="9" t="s">
        <v>18</v>
      </c>
      <c r="E15" s="9" t="s">
        <v>8</v>
      </c>
      <c r="F15" s="10">
        <v>40000.0</v>
      </c>
    </row>
    <row r="16">
      <c r="B16" s="7">
        <v>12.0</v>
      </c>
      <c r="C16" s="11">
        <v>46312.0</v>
      </c>
      <c r="D16" s="12" t="s">
        <v>19</v>
      </c>
      <c r="E16" s="12" t="s">
        <v>8</v>
      </c>
      <c r="F16" s="13">
        <v>50000.0</v>
      </c>
    </row>
    <row r="17">
      <c r="B17" s="14"/>
      <c r="C17" s="11"/>
      <c r="D17" s="12"/>
      <c r="E17" s="12"/>
      <c r="F17" s="13"/>
    </row>
    <row r="18">
      <c r="B18" s="15" t="s">
        <v>20</v>
      </c>
      <c r="C18" s="16"/>
      <c r="D18" s="16"/>
      <c r="E18" s="17"/>
      <c r="F18" s="18">
        <f>SUM(F5:F17)</f>
        <v>580000</v>
      </c>
    </row>
    <row r="20">
      <c r="B20" s="19" t="s">
        <v>21</v>
      </c>
    </row>
  </sheetData>
  <mergeCells count="1">
    <mergeCell ref="B18:E18"/>
  </mergeCells>
  <conditionalFormatting sqref="E5:E17">
    <cfRule type="cellIs" dxfId="4" priority="1" stopIfTrue="1" operator="equal">
      <formula>"Done"</formula>
    </cfRule>
  </conditionalFormatting>
  <conditionalFormatting sqref="E5:E17">
    <cfRule type="containsText" dxfId="5" priority="2" stopIfTrue="1" operator="containsText" text="Progress">
      <formula>NOT(ISERROR(SEARCH(("Progress"),(E5))))</formula>
    </cfRule>
  </conditionalFormatting>
  <drawing r:id="rId1"/>
</worksheet>
</file>